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ea389b372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623f6a48cc49e3"/>
    <x:sheet xmlns:r="http://schemas.openxmlformats.org/officeDocument/2006/relationships" name="Participants" sheetId="2" r:id="R1bfb4581290342a0"/>
    <x:sheet xmlns:r="http://schemas.openxmlformats.org/officeDocument/2006/relationships" name="Tasks" sheetId="3" r:id="R8b56b4b674cb4658"/>
    <x:sheet xmlns:r="http://schemas.openxmlformats.org/officeDocument/2006/relationships" name="Observations" sheetId="4" r:id="R0e43444a18254507"/>
    <x:sheet xmlns:r="http://schemas.openxmlformats.org/officeDocument/2006/relationships" name="Issues" sheetId="5" r:id="R6e5193655f714166"/>
    <x:sheet xmlns:r="http://schemas.openxmlformats.org/officeDocument/2006/relationships" name="Product100" sheetId="6" r:id="R8b64fa3c4c854649"/>
    <x:sheet xmlns:r="http://schemas.openxmlformats.org/officeDocument/2006/relationships" name="SearchLog" sheetId="7" r:id="Ra3f751d33f72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9ecc03e8d462e" /><Relationship Type="http://schemas.openxmlformats.org/officeDocument/2006/relationships/theme" Target="/xl/theme/theme1.xml" Id="Rab83e393ee6a489f" /><Relationship Type="http://schemas.openxmlformats.org/officeDocument/2006/relationships/sharedStrings" Target="/xl/sharedStrings.xml" Id="R570233d1871540c8" /><Relationship Type="http://schemas.openxmlformats.org/officeDocument/2006/relationships/worksheet" Target="/xl/worksheets/sheet1.xml" Id="R8f623f6a48cc49e3" /><Relationship Type="http://schemas.openxmlformats.org/officeDocument/2006/relationships/worksheet" Target="/xl/worksheets/sheet2.xml" Id="R1bfb4581290342a0" /><Relationship Type="http://schemas.openxmlformats.org/officeDocument/2006/relationships/worksheet" Target="/xl/worksheets/sheet3.xml" Id="R8b56b4b674cb4658" /><Relationship Type="http://schemas.openxmlformats.org/officeDocument/2006/relationships/worksheet" Target="/xl/worksheets/sheet4.xml" Id="R0e43444a18254507" /><Relationship Type="http://schemas.openxmlformats.org/officeDocument/2006/relationships/worksheet" Target="/xl/worksheets/sheet5.xml" Id="R6e5193655f714166" /><Relationship Type="http://schemas.openxmlformats.org/officeDocument/2006/relationships/worksheet" Target="/xl/worksheets/sheet6.xml" Id="R8b64fa3c4c854649" /><Relationship Type="http://schemas.openxmlformats.org/officeDocument/2006/relationships/worksheet" Target="/xl/worksheets/sheet7.xml" Id="Ra3f751d33f7241bd" /></Relationships>
</file>

<file path=xl/tables/table1.xml><?xml version="1.0" encoding="utf-8"?>
<x:table xmlns:x="http://schemas.openxmlformats.org/spreadsheetml/2006/main" id="1" name="ParticipantsTable" displayName="ParticipantsTable" ref="A1:J9" headerRowCount="1">
  <x:tableColumns count="10">
    <x:tableColumn id="1" name="participant_id"/>
    <x:tableColumn id="2" name="track"/>
    <x:tableColumn id="3" name="digital_confidence"/>
    <x:tableColumn id="4" name="age_group"/>
    <x:tableColumn id="5" name="device"/>
    <x:tableColumn id="6" name="browser"/>
    <x:tableColumn id="7" name="consent"/>
    <x:tableColumn id="8" name="session_status"/>
    <x:tableColumn id="9" name="session_date"/>
    <x:tableColumn id="10" name="moderator"/>
  </x:tableColumns>
  <x:tableStyleInfo name="TableStyleMedium2" showRowStripes="1"/>
</x:table>
</file>

<file path=xl/tables/table2.xml><?xml version="1.0" encoding="utf-8"?>
<x:table xmlns:x="http://schemas.openxmlformats.org/spreadsheetml/2006/main" id="2" name="TasksTable" displayName="TasksTable" ref="A1:F13" headerRowCount="1">
  <x:tableColumns count="6">
    <x:tableColumn id="1" name="task_id"/>
    <x:tableColumn id="2" name="track"/>
    <x:tableColumn id="3" name="task_name"/>
    <x:tableColumn id="4" name="criticality"/>
    <x:tableColumn id="5" name="participant_instruction"/>
    <x:tableColumn id="6" name="success_criterion"/>
  </x:tableColumns>
  <x:tableStyleInfo name="TableStyleMedium2" showRowStripes="1"/>
</x:table>
</file>

<file path=xl/tables/table3.xml><?xml version="1.0" encoding="utf-8"?>
<x:table xmlns:x="http://schemas.openxmlformats.org/spreadsheetml/2006/main" id="3" name="ObservationsTable" displayName="ObservationsTable" ref="A1:R57" headerRowCount="1">
  <x:tableColumns count="18">
    <x:tableColumn id="1" name="participant_id"/>
    <x:tableColumn id="2" name="track"/>
    <x:tableColumn id="3" name="task_id"/>
    <x:tableColumn id="4" name="task_name"/>
    <x:tableColumn id="5" name="criticality"/>
    <x:tableColumn id="6" name="start_time"/>
    <x:tableColumn id="7" name="end_time"/>
    <x:tableColumn id="8" name="duration_sec"/>
    <x:tableColumn id="9" name="completed"/>
    <x:tableColumn id="10" name="completed_without_help"/>
    <x:tableColumn id="11" name="moderator_help_count"/>
    <x:tableColumn id="12" name="wrong_turns"/>
    <x:tableColumn id="13" name="critical_misinterpretation"/>
    <x:tableColumn id="14" name="seq_1_7"/>
    <x:tableColumn id="15" name="participant_quote"/>
    <x:tableColumn id="16" name="observed_behavior"/>
    <x:tableColumn id="17" name="issue_ids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ssuesTable" displayName="IssuesTable" ref="A1:R101" headerRowCount="1">
  <x:tableColumns count="18">
    <x:tableColumn id="1" name="issue_id"/>
    <x:tableColumn id="2" name="date"/>
    <x:tableColumn id="3" name="participant_id"/>
    <x:tableColumn id="4" name="track"/>
    <x:tableColumn id="5" name="task_id"/>
    <x:tableColumn id="6" name="severity"/>
    <x:tableColumn id="7" name="category"/>
    <x:tableColumn id="8" name="title"/>
    <x:tableColumn id="9" name="description"/>
    <x:tableColumn id="10" name="evidence"/>
    <x:tableColumn id="11" name="repro_steps"/>
    <x:tableColumn id="12" name="frequency"/>
    <x:tableColumn id="13" name="safety_risk"/>
    <x:tableColumn id="14" name="workaround"/>
    <x:tableColumn id="15" name="owner"/>
    <x:tableColumn id="16" name="status"/>
    <x:tableColumn id="17" name="decision"/>
    <x:tableColumn id="18" name="target_release"/>
  </x:tableColumns>
  <x:tableStyleInfo name="TableStyleMedium2" showRowStripes="1"/>
</x:table>
</file>

<file path=xl/tables/table5.xml><?xml version="1.0" encoding="utf-8"?>
<x:table xmlns:x="http://schemas.openxmlformats.org/spreadsheetml/2006/main" id="5" name="Product100Table" displayName="Product100Table" ref="A1:AL101" headerRowCount="1">
  <x:tableColumns count="38">
    <x:tableColumn id="1" name="priority"/>
    <x:tableColumn id="2" name="section"/>
    <x:tableColumn id="3" name="key"/>
    <x:tableColumn id="4" name="name_ru"/>
    <x:tableColumn id="5" name="category"/>
    <x:tableColumn id="6" name="state"/>
    <x:tableColumn id="7" name="confidence_tier"/>
    <x:tableColumn id="8" name="confidence_score"/>
    <x:tableColumn id="9" name="review_status"/>
    <x:tableColumn id="10" name="source_kind"/>
    <x:tableColumn id="11" name="source_id"/>
    <x:tableColumn id="12" name="source_dataset"/>
    <x:tableColumn id="13" name="source_version"/>
    <x:tableColumn id="14" name="source_url"/>
    <x:tableColumn id="15" name="assumed_zero_count"/>
    <x:tableColumn id="16" name="unknown_zero_fields"/>
    <x:tableColumn id="17" name="kcal"/>
    <x:tableColumn id="18" name="protein_g"/>
    <x:tableColumn id="19" name="fat_g"/>
    <x:tableColumn id="20" name="carbs_g"/>
    <x:tableColumn id="21" name="fiber_g"/>
    <x:tableColumn id="22" name="sodium_mg"/>
    <x:tableColumn id="23" name="salt_g"/>
    <x:tableColumn id="24" name="selection_reason"/>
    <x:tableColumn id="25" name="identity_state_check"/>
    <x:tableColumn id="26" name="source_match_check"/>
    <x:tableColumn id="27" name="macros_energy_check"/>
    <x:tableColumn id="28" name="sodium_salt_check"/>
    <x:tableColumn id="29" name="micronutrients_check"/>
    <x:tableColumn id="30" name="zero_semantics_check"/>
    <x:tableColumn id="31" name="hei_equivalents_check"/>
    <x:tableColumn id="32" name="duplicates_search_check"/>
    <x:tableColumn id="33" name="audit_status"/>
    <x:tableColumn id="34" name="auditor"/>
    <x:tableColumn id="35" name="audit_date"/>
    <x:tableColumn id="36" name="issues"/>
    <x:tableColumn id="37" name="decision"/>
    <x:tableColumn id="38" name="replacement_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SearchLogTable" displayName="SearchLogTable" ref="A1:I201" headerRowCount="1">
  <x:tableColumns count="9">
    <x:tableColumn id="1" name="session_id"/>
    <x:tableColumn id="2" name="track"/>
    <x:tableColumn id="3" name="query_normalized"/>
    <x:tableColumn id="4" name="result_clicked_key"/>
    <x:tableColumn id="5" name="result_rank"/>
    <x:tableColumn id="6" name="found_expected_product"/>
    <x:tableColumn id="7" name="reformulated_query"/>
    <x:tableColumn id="8" name="time_to_first_click_sec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9a8f04344449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f7709fb44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771be0385c4e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577980483f44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bdbd0413a345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666673733742e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hidden="0" customHeight="1">
      <x:c r="A1" s="37" t="str">
        <x:v>PC2 — Product Validation Sprint</x:v>
      </x:c>
      <x:c r="B1" s="37"/>
      <x:c r="C1" s="37"/>
      <x:c r="D1" s="37"/>
      <x:c r="E1" s="37"/>
      <x:c r="F1" s="37"/>
      <x:c r="G1" s="37"/>
      <x:c r="H1" s="37"/>
    </x:row>
    <x:row r="2" ht="15" hidden="0" customHeight="1">
      <x:c r="A2" s="38"/>
      <x:c r="B2" s="38"/>
      <x:c r="C2" s="38"/>
      <x:c r="D2" s="38"/>
      <x:c r="E2" s="38"/>
      <x:c r="F2" s="38"/>
      <x:c r="G2" s="38"/>
      <x:c r="H2" s="38"/>
    </x:row>
    <x:row r="3" ht="15" hidden="0" customHeight="1">
      <x:c r="A3" s="39" t="str">
        <x:v>Параметр</x:v>
      </x:c>
      <x:c r="B3" s="39" t="str">
        <x:v>Значение</x:v>
      </x:c>
      <x:c r="C3" s="38"/>
      <x:c r="D3" s="37" t="str">
        <x:v>KPI</x:v>
      </x:c>
      <x:c r="E3" s="37" t="str">
        <x:v>Текущее</x:v>
      </x:c>
      <x:c r="F3" s="37" t="str">
        <x:v>Порог</x:v>
      </x:c>
      <x:c r="G3" s="37" t="str">
        <x:v>Статус</x:v>
      </x:c>
      <x:c r="H3" s="38"/>
    </x:row>
    <x:row r="4" ht="15" hidden="0" customHeight="1">
      <x:c r="A4" s="38" t="str">
        <x:v>Версия</x:v>
      </x:c>
      <x:c r="B4" s="38" t="str">
        <x:v>v5.3.210-pc2</x:v>
      </x:c>
      <x:c r="C4" s="38"/>
      <x:c r="D4" s="38" t="str">
        <x:v>Завершённые consumer-сеансы</x:v>
      </x:c>
      <x:c r="E4" s="40" t="n">
        <x:f>COUNTIF(Participants!H2:H7,"COMPLETED")</x:f>
        <x:v>0</x:v>
      </x:c>
      <x:c r="F4" s="40" t="n">
        <x:v>6</x:v>
      </x:c>
      <x:c r="G4" s="40" t="str">
        <x:f>IF(E4&gt;=F4,"PASS","PENDING")</x:f>
        <x:v>PENDING</x:v>
      </x:c>
      <x:c r="H4" s="38"/>
    </x:row>
    <x:row r="5" ht="96" hidden="0" customHeight="1">
      <x:c r="A5" s="38" t="str">
        <x:v>HOSTING SHA-256</x:v>
      </x:c>
      <x:c r="B5" s="41" t="str">
        <x:v>7304db8095e4ec9a8907f2841609e341ef68bd02d660894ac3931378ddc173a9</x:v>
      </x:c>
      <x:c r="C5" s="38"/>
      <x:c r="D5" s="38" t="str">
        <x:v>Завершённые professional-сеансы</x:v>
      </x:c>
      <x:c r="E5" s="40" t="n">
        <x:f>COUNTIF(Participants!H8:H9,"COMPLETED")</x:f>
        <x:v>0</x:v>
      </x:c>
      <x:c r="F5" s="40" t="n">
        <x:v>2</x:v>
      </x:c>
      <x:c r="G5" s="40" t="str">
        <x:f>IF(E5&gt;=F5,"PASS","PENDING")</x:f>
        <x:v>PENDING</x:v>
      </x:c>
      <x:c r="H5" s="38"/>
    </x:row>
    <x:row r="6" ht="15" hidden="0" customHeight="1">
      <x:c r="A6" s="38" t="str">
        <x:v>Consumer-участники</x:v>
      </x:c>
      <x:c r="B6" s="38" t="n">
        <x:v>6</x:v>
      </x:c>
      <x:c r="C6" s="38"/>
      <x:c r="D6" s="38" t="str">
        <x:v>Consumer-задачи без помощи</x:v>
      </x:c>
      <x:c r="E6" s="40" t="n">
        <x:f>COUNTIFS(Observations!B2:B57,"CONSUMER",Observations!J2:J57,"YES")</x:f>
        <x:v>0</x:v>
      </x:c>
      <x:c r="F6" s="40" t="n">
        <x:v>40</x:v>
      </x:c>
      <x:c r="G6" s="40" t="str">
        <x:f>IF(E6&gt;=F6,"PASS","PENDING")</x:f>
        <x:v>PENDING</x:v>
      </x:c>
      <x:c r="H6" s="38"/>
    </x:row>
    <x:row r="7" ht="15" hidden="0" customHeight="1">
      <x:c r="A7" s="38" t="str">
        <x:v>Professional-участники</x:v>
      </x:c>
      <x:c r="B7" s="38" t="n">
        <x:v>2</x:v>
      </x:c>
      <x:c r="C7" s="38"/>
      <x:c r="D7" s="38" t="str">
        <x:v>Critical misinterpretations</x:v>
      </x:c>
      <x:c r="E7" s="40" t="n">
        <x:f>COUNTIF(Observations!M2:M57,"YES")</x:f>
        <x:v>0</x:v>
      </x:c>
      <x:c r="F7" s="40" t="n">
        <x:v>0</x:v>
      </x:c>
      <x:c r="G7" s="40" t="str">
        <x:f>IF(E7&lt;=F7,"PASS","FAIL")</x:f>
        <x:v>PASS</x:v>
      </x:c>
      <x:c r="H7" s="38"/>
    </x:row>
    <x:row r="8" ht="15" hidden="0" customHeight="1">
      <x:c r="A8" s="38" t="str">
        <x:v>Priority-100</x:v>
      </x:c>
      <x:c r="B8" s="38" t="n">
        <x:v>100</x:v>
      </x:c>
      <x:c r="C8" s="38"/>
      <x:c r="D8" s="38" t="str">
        <x:v>Среднее SEQ</x:v>
      </x:c>
      <x:c r="E8" s="40" t="n">
        <x:f>IFERROR(AVERAGE(Observations!N2:N57),0)</x:f>
        <x:v>0</x:v>
      </x:c>
      <x:c r="F8" s="40" t="n">
        <x:v>5</x:v>
      </x:c>
      <x:c r="G8" s="40" t="str">
        <x:f>IF(E8&gt;=F8,"PASS","PENDING")</x:f>
        <x:v>PENDING</x:v>
      </x:c>
      <x:c r="H8" s="38"/>
    </x:row>
    <x:row r="9" ht="15" hidden="0" customHeight="1">
      <x:c r="A9" s="38"/>
      <x:c r="B9" s="38"/>
      <x:c r="C9" s="38"/>
      <x:c r="D9" s="38" t="str">
        <x:v>Проверено продуктов</x:v>
      </x:c>
      <x:c r="E9" s="40" t="n">
        <x:f>COUNTIF(Product100!AG2:AG101,"REVIEWED")</x:f>
        <x:v>0</x:v>
      </x:c>
      <x:c r="F9" s="40" t="n">
        <x:v>100</x:v>
      </x:c>
      <x:c r="G9" s="40" t="str">
        <x:f>IF(E9&gt;=F9,"PASS","PENDING")</x:f>
        <x:v>PENDING</x:v>
      </x:c>
      <x:c r="H9" s="38"/>
    </x:row>
    <x:row r="10" ht="15" hidden="0" customHeight="1">
      <x:c r="A10" s="38"/>
      <x:c r="B10" s="38"/>
      <x:c r="C10" s="38"/>
      <x:c r="D10" s="38" t="str">
        <x:v>Нерешённые LOW</x:v>
      </x:c>
      <x:c r="E10" s="40" t="n">
        <x:f>COUNTIFS(Product100!G2:G101,"LOW",Product100!AG2:AG101,"&lt;&gt;REVIEWED")</x:f>
        <x:v>13</x:v>
      </x:c>
      <x:c r="F10" s="40" t="n">
        <x:v>0</x:v>
      </x:c>
      <x:c r="G10" s="40" t="str">
        <x:f>IF(E10&lt;=F10,"PASS","FAIL")</x:f>
        <x:v>FAIL</x:v>
      </x:c>
      <x:c r="H10" s="38"/>
    </x:row>
    <x:row r="11" ht="15" hidden="0" customHeight="1">
      <x:c r="A11" s="39" t="str">
        <x:v>Решение о релизе</x:v>
      </x:c>
      <x:c r="B11" s="39"/>
      <x:c r="C11" s="39"/>
      <x:c r="D11" s="39"/>
      <x:c r="E11" s="39"/>
      <x:c r="F11" s="39"/>
      <x:c r="G11" s="39"/>
      <x:c r="H11" s="39"/>
    </x:row>
    <x:row r="12" ht="120" hidden="0" customHeight="1">
      <x:c r="A12" s="41" t="str">
        <x:v>GO BETA</x:v>
      </x:c>
      <x:c r="B12" s="41" t="str">
        <x:v>Все критические критерии пройдены; нет нерешённых Critical/Major.</x:v>
      </x:c>
      <x:c r="C12" s="38"/>
      <x:c r="D12" s="38"/>
      <x:c r="E12" s="38"/>
      <x:c r="F12" s="38"/>
      <x:c r="G12" s="38"/>
      <x:c r="H12" s="38"/>
    </x:row>
    <x:row r="13" ht="108" hidden="0" customHeight="1">
      <x:c r="A13" s="41" t="str">
        <x:v>GO WITH FIXES</x:v>
      </x:c>
      <x:c r="B13" s="41" t="str">
        <x:v>Нет safety-блокера, но есть повторяемые Major/Moderate findings.</x:v>
      </x:c>
      <x:c r="C13" s="38"/>
      <x:c r="D13" s="38"/>
      <x:c r="E13" s="38"/>
      <x:c r="F13" s="38"/>
      <x:c r="G13" s="38"/>
      <x:c r="H13" s="38"/>
    </x:row>
    <x:row r="14" ht="144" hidden="0" customHeight="1">
      <x:c r="A14" s="41" t="str">
        <x:v>NO-GO</x:v>
      </x:c>
      <x:c r="B14" s="41" t="str">
        <x:v>Есть критическая неверная интерпретация, риск небезопасного совета или провал ключевого сценария.</x:v>
      </x:c>
      <x:c r="C14" s="38"/>
      <x:c r="D14" s="38"/>
      <x:c r="E14" s="38"/>
      <x:c r="F14" s="38"/>
      <x:c r="G14" s="38"/>
      <x:c r="H14" s="38"/>
    </x:row>
    <x:row r="15" ht="84" hidden="0" customHeight="1">
      <x:c r="A15" s="41" t="str">
        <x:v>Текущее решение</x:v>
      </x:c>
      <x:c r="B15" s="41" t="str">
        <x:v>PENDING — заполнить после 8 сеансов и Priority-100.</x:v>
      </x:c>
      <x:c r="C15" s="38"/>
      <x:c r="D15" s="38"/>
      <x:c r="E15" s="38"/>
      <x:c r="F15" s="38"/>
      <x:c r="G15" s="38"/>
      <x:c r="H15" s="38"/>
    </x:row>
  </x:sheetData>
  <x:mergeCells>
    <x:mergeCell ref="A1:H1"/>
    <x:mergeCell ref="A11:H11"/>
  </x:mergeCells>
  <x:conditionalFormatting sqref="G4:G10">
    <x:cfRule type="expression" dxfId="0" priority="1">
      <x:formula>G4="PASS"</x:formula>
    </x:cfRule>
    <x:cfRule type="expression" dxfId="1" priority="2">
      <x:formula>G4="FAIL"</x:formula>
    </x:cfRule>
    <x:cfRule type="expression" dxfId="2" priority="3">
      <x:formula>G4="PENDING"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37" t="str">
        <x:v>participant_id</x:v>
      </x:c>
      <x:c r="B1" s="37" t="str">
        <x:v>track</x:v>
      </x:c>
      <x:c r="C1" s="37" t="str">
        <x:v>digital_confidence</x:v>
      </x:c>
      <x:c r="D1" s="37" t="str">
        <x:v>age_group</x:v>
      </x:c>
      <x:c r="E1" s="37" t="str">
        <x:v>device</x:v>
      </x:c>
      <x:c r="F1" s="37" t="str">
        <x:v>browser</x:v>
      </x:c>
      <x:c r="G1" s="37" t="str">
        <x:v>consent</x:v>
      </x:c>
      <x:c r="H1" s="37" t="str">
        <x:v>session_status</x:v>
      </x:c>
      <x:c r="I1" s="37" t="str">
        <x:v>session_date</x:v>
      </x:c>
      <x:c r="J1" s="37" t="str">
        <x:v>moderator</x:v>
      </x:c>
    </x:row>
    <x:row r="2" ht="15" hidden="0" customHeight="1">
      <x:c r="A2" s="38" t="str">
        <x:v>C01</x:v>
      </x:c>
      <x:c r="B2" s="38" t="str">
        <x:v>CONSUMER</x:v>
      </x:c>
      <x:c r="C2" s="38" t="str"/>
      <x:c r="D2" s="38" t="str"/>
      <x:c r="E2" s="38" t="str">
        <x:v>MOBILE</x:v>
      </x:c>
      <x:c r="F2" s="38" t="str"/>
      <x:c r="G2" s="38" t="str">
        <x:v>PENDING</x:v>
      </x:c>
      <x:c r="H2" s="38" t="str">
        <x:v>NOT_STARTED</x:v>
      </x:c>
      <x:c r="I2" s="38" t="str"/>
      <x:c r="J2" s="38" t="str"/>
    </x:row>
    <x:row r="3" ht="15" hidden="0" customHeight="1">
      <x:c r="A3" s="38" t="str">
        <x:v>C02</x:v>
      </x:c>
      <x:c r="B3" s="38" t="str">
        <x:v>CONSUMER</x:v>
      </x:c>
      <x:c r="C3" s="38" t="str"/>
      <x:c r="D3" s="38" t="str"/>
      <x:c r="E3" s="38" t="str">
        <x:v>MOBILE</x:v>
      </x:c>
      <x:c r="F3" s="38" t="str"/>
      <x:c r="G3" s="38" t="str">
        <x:v>PENDING</x:v>
      </x:c>
      <x:c r="H3" s="38" t="str">
        <x:v>NOT_STARTED</x:v>
      </x:c>
      <x:c r="I3" s="38" t="str"/>
      <x:c r="J3" s="38" t="str"/>
    </x:row>
    <x:row r="4" ht="15" hidden="0" customHeight="1">
      <x:c r="A4" s="38" t="str">
        <x:v>C03</x:v>
      </x:c>
      <x:c r="B4" s="38" t="str">
        <x:v>CONSUMER</x:v>
      </x:c>
      <x:c r="C4" s="38" t="str"/>
      <x:c r="D4" s="38" t="str"/>
      <x:c r="E4" s="38" t="str">
        <x:v>MOBILE</x:v>
      </x:c>
      <x:c r="F4" s="38" t="str"/>
      <x:c r="G4" s="38" t="str">
        <x:v>PENDING</x:v>
      </x:c>
      <x:c r="H4" s="38" t="str">
        <x:v>NOT_STARTED</x:v>
      </x:c>
      <x:c r="I4" s="38" t="str"/>
      <x:c r="J4" s="38" t="str"/>
    </x:row>
    <x:row r="5" ht="15" hidden="0" customHeight="1">
      <x:c r="A5" s="38" t="str">
        <x:v>C04</x:v>
      </x:c>
      <x:c r="B5" s="38" t="str">
        <x:v>CONSUMER</x:v>
      </x:c>
      <x:c r="C5" s="38" t="str"/>
      <x:c r="D5" s="38" t="str"/>
      <x:c r="E5" s="38" t="str">
        <x:v>DESKTOP</x:v>
      </x:c>
      <x:c r="F5" s="38" t="str"/>
      <x:c r="G5" s="38" t="str">
        <x:v>PENDING</x:v>
      </x:c>
      <x:c r="H5" s="38" t="str">
        <x:v>NOT_STARTED</x:v>
      </x:c>
      <x:c r="I5" s="38" t="str"/>
      <x:c r="J5" s="38" t="str"/>
    </x:row>
    <x:row r="6" ht="15" hidden="0" customHeight="1">
      <x:c r="A6" s="38" t="str">
        <x:v>C05</x:v>
      </x:c>
      <x:c r="B6" s="38" t="str">
        <x:v>CONSUMER</x:v>
      </x:c>
      <x:c r="C6" s="38" t="str"/>
      <x:c r="D6" s="38" t="str"/>
      <x:c r="E6" s="38" t="str">
        <x:v>DESKTOP</x:v>
      </x:c>
      <x:c r="F6" s="38" t="str"/>
      <x:c r="G6" s="38" t="str">
        <x:v>PENDING</x:v>
      </x:c>
      <x:c r="H6" s="38" t="str">
        <x:v>NOT_STARTED</x:v>
      </x:c>
      <x:c r="I6" s="38" t="str"/>
      <x:c r="J6" s="38" t="str"/>
    </x:row>
    <x:row r="7" ht="15" hidden="0" customHeight="1">
      <x:c r="A7" s="38" t="str">
        <x:v>C06</x:v>
      </x:c>
      <x:c r="B7" s="38" t="str">
        <x:v>CONSUMER</x:v>
      </x:c>
      <x:c r="C7" s="38" t="str"/>
      <x:c r="D7" s="38" t="str"/>
      <x:c r="E7" s="38" t="str">
        <x:v>DESKTOP</x:v>
      </x:c>
      <x:c r="F7" s="38" t="str"/>
      <x:c r="G7" s="38" t="str">
        <x:v>PENDING</x:v>
      </x:c>
      <x:c r="H7" s="38" t="str">
        <x:v>NOT_STARTED</x:v>
      </x:c>
      <x:c r="I7" s="38" t="str"/>
      <x:c r="J7" s="38" t="str"/>
    </x:row>
    <x:row r="8" ht="15" hidden="0" customHeight="1">
      <x:c r="A8" s="38" t="str">
        <x:v>P01</x:v>
      </x:c>
      <x:c r="B8" s="38" t="str">
        <x:v>PROFESSIONAL</x:v>
      </x:c>
      <x:c r="C8" s="38" t="str"/>
      <x:c r="D8" s="38" t="str"/>
      <x:c r="E8" s="38" t="str">
        <x:v>DESKTOP</x:v>
      </x:c>
      <x:c r="F8" s="38" t="str"/>
      <x:c r="G8" s="38" t="str">
        <x:v>PENDING</x:v>
      </x:c>
      <x:c r="H8" s="38" t="str">
        <x:v>NOT_STARTED</x:v>
      </x:c>
      <x:c r="I8" s="38" t="str"/>
      <x:c r="J8" s="38" t="str"/>
    </x:row>
    <x:row r="9" ht="15" hidden="0" customHeight="1">
      <x:c r="A9" s="38" t="str">
        <x:v>P02</x:v>
      </x:c>
      <x:c r="B9" s="38" t="str">
        <x:v>PROFESSIONAL</x:v>
      </x:c>
      <x:c r="C9" s="38" t="str"/>
      <x:c r="D9" s="38" t="str"/>
      <x:c r="E9" s="38" t="str">
        <x:v>DESKTOP</x:v>
      </x:c>
      <x:c r="F9" s="38" t="str"/>
      <x:c r="G9" s="38" t="str">
        <x:v>PENDING</x:v>
      </x:c>
      <x:c r="H9" s="38" t="str">
        <x:v>NOT_STARTED</x:v>
      </x:c>
      <x:c r="I9" s="38" t="str"/>
      <x:c r="J9" s="38" t="str"/>
    </x:row>
  </x:sheetData>
  <x:dataValidations count="5">
    <x:dataValidation type="list" sqref="C2:C9">
      <x:formula1>"LOW,MEDIUM,HIGH"</x:formula1>
    </x:dataValidation>
    <x:dataValidation type="list" sqref="D2:D9">
      <x:formula1>"18–29,30–44,45–59,60+"</x:formula1>
    </x:dataValidation>
    <x:dataValidation type="list" sqref="E2:E9">
      <x:formula1>"MOBILE,DESKTOP,TABLET"</x:formula1>
    </x:dataValidation>
    <x:dataValidation type="list" sqref="G2:G9">
      <x:formula1>"PENDING,YES,NO"</x:formula1>
    </x:dataValidation>
    <x:dataValidation type="list" sqref="H2:H9">
      <x:formula1>"NOT_STARTED,IN_PROGRESS,COMPLETED,EXCLUDED"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9a8f04344449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15" hidden="0" customHeight="1">
      <x:c r="A1" s="37" t="str">
        <x:v>task_id</x:v>
      </x:c>
      <x:c r="B1" s="37" t="str">
        <x:v>track</x:v>
      </x:c>
      <x:c r="C1" s="37" t="str">
        <x:v>task_name</x:v>
      </x:c>
      <x:c r="D1" s="37" t="str">
        <x:v>criticality</x:v>
      </x:c>
      <x:c r="E1" s="37" t="str">
        <x:v>participant_instruction</x:v>
      </x:c>
      <x:c r="F1" s="37" t="str">
        <x:v>success_criterion</x:v>
      </x:c>
    </x:row>
    <x:row r="2" ht="96" hidden="0" customHeight="1">
      <x:c r="A2" s="38" t="str">
        <x:v>C01</x:v>
      </x:c>
      <x:c r="B2" s="38" t="str">
        <x:v>CONSUMER</x:v>
      </x:c>
      <x:c r="C2" s="38" t="str">
        <x:v>Понять назначение</x:v>
      </x:c>
      <x:c r="D2" s="38" t="str">
        <x:v>CRITICAL</x:v>
      </x:c>
      <x:c r="E2" s="41" t="str">
        <x:v>Объяснить назначение продукта и чего он не заменяет.</x:v>
      </x:c>
      <x:c r="F2" s="41" t="str">
        <x:v>Образовательный/аналитический инструмент; не замена врачу.</x:v>
      </x:c>
    </x:row>
    <x:row r="3" ht="96" hidden="0" customHeight="1">
      <x:c r="A3" s="38" t="str">
        <x:v>C02</x:v>
      </x:c>
      <x:c r="B3" s="38" t="str">
        <x:v>CONSUMER</x:v>
      </x:c>
      <x:c r="C3" s="38" t="str">
        <x:v>Рассчитать потребности</x:v>
      </x:c>
      <x:c r="D3" s="38" t="str">
        <x:v>CRITICAL</x:v>
      </x:c>
      <x:c r="E3" s="41" t="str">
        <x:v>Женщина, 34 года, 168 см, 62 кг, низкая активность, поддержание.</x:v>
      </x:c>
      <x:c r="F3" s="41" t="str">
        <x:v>Расчёт без прямой подсказки; найдены энергия и белок.</x:v>
      </x:c>
    </x:row>
    <x:row r="4" ht="96" hidden="0" customHeight="1">
      <x:c r="A4" s="38" t="str">
        <x:v>C03</x:v>
      </x:c>
      <x:c r="B4" s="38" t="str">
        <x:v>CONSUMER</x:v>
      </x:c>
      <x:c r="C4" s="38" t="str">
        <x:v>Собрать фрагмент</x:v>
      </x:c>
      <x:c r="D4" s="38" t="str">
        <x:v>CORE</x:v>
      </x:c>
      <x:c r="E4" s="41" t="str">
        <x:v>Гречка 150 г, куриная грудка 120 г, огурец 150 г, яблоко 180 г.</x:v>
      </x:c>
      <x:c r="F4" s="41" t="str">
        <x:v>Базовые продукты найдены и добавлены с правильными граммами.</x:v>
      </x:c>
    </x:row>
    <x:row r="5" ht="96" hidden="0" customHeight="1">
      <x:c r="A5" s="38" t="str">
        <x:v>C04</x:v>
      </x:c>
      <x:c r="B5" s="38" t="str">
        <x:v>CONSUMER</x:v>
      </x:c>
      <x:c r="C5" s="38" t="str">
        <x:v>Распознать предварительный результат</x:v>
      </x:c>
      <x:c r="D5" s="38" t="str">
        <x:v>CRITICAL</x:v>
      </x:c>
      <x:c r="E5" s="41" t="str">
        <x:v>Определить, полный ли это день и какие выводы допустимы.</x:v>
      </x:c>
      <x:c r="F5" s="41" t="str">
        <x:v>Фрагмент не принимается за финальную оценку дня.</x:v>
      </x:c>
    </x:row>
    <x:row r="6" ht="108" hidden="0" customHeight="1">
      <x:c r="A6" s="38" t="str">
        <x:v>C05</x:v>
      </x:c>
      <x:c r="B6" s="38" t="str">
        <x:v>CONSUMER</x:v>
      </x:c>
      <x:c r="C6" s="38" t="str">
        <x:v>Подтвердить полный день</x:v>
      </x:c>
      <x:c r="D6" s="38" t="str">
        <x:v>CORE</x:v>
      </x:c>
      <x:c r="E6" s="41" t="str">
        <x:v>Добавить молоко 200 г, яйцо 50 г, хлеб 60 г; подтвердить день; изменить хлеб.</x:v>
      </x:c>
      <x:c r="F6" s="41" t="str">
        <x:v>Подтверждение найдено; изменение граммов отменяет статус.</x:v>
      </x:c>
    </x:row>
    <x:row r="7" ht="84" hidden="0" customHeight="1">
      <x:c r="A7" s="38" t="str">
        <x:v>C06</x:v>
      </x:c>
      <x:c r="B7" s="38" t="str">
        <x:v>CONSUMER</x:v>
      </x:c>
      <x:c r="C7" s="38" t="str">
        <x:v>Прочитать приоритеты</x:v>
      </x:c>
      <x:c r="D7" s="38" t="str">
        <x:v>CRITICAL</x:v>
      </x:c>
      <x:c r="E7" s="41" t="str">
        <x:v>Назвать три вывода и выбрать первое изменение.</x:v>
      </x:c>
      <x:c r="F7" s="41" t="str">
        <x:v>Минимум два вывода поняты; действие реалистично.</x:v>
      </x:c>
    </x:row>
    <x:row r="8" ht="72" hidden="0" customHeight="1">
      <x:c r="A8" s="38" t="str">
        <x:v>C07</x:v>
      </x:c>
      <x:c r="B8" s="38" t="str">
        <x:v>CONSUMER</x:v>
      </x:c>
      <x:c r="C8" s="38" t="str">
        <x:v>Различить слои анализа</x:v>
      </x:c>
      <x:c r="D8" s="38" t="str">
        <x:v>CORE</x:v>
      </x:c>
      <x:c r="E8" s="41" t="str">
        <x:v>Сравнить «Питательные итоги» и «Качество рациона».</x:v>
      </x:c>
      <x:c r="F8" s="41" t="str">
        <x:v>Понимается различие нутриентов/норм и структурной оценки.</x:v>
      </x:c>
    </x:row>
    <x:row r="9" ht="108" hidden="0" customHeight="1">
      <x:c r="A9" s="38" t="str">
        <x:v>C08</x:v>
      </x:c>
      <x:c r="B9" s="38" t="str">
        <x:v>CONSUMER</x:v>
      </x:c>
      <x:c r="C9" s="38" t="str">
        <x:v>Отчёт и доверие</x:v>
      </x:c>
      <x:c r="D9" s="38" t="str">
        <x:v>CRITICAL</x:v>
      </x:c>
      <x:c r="E9" s="41" t="str">
        <x:v>Экспортировать отчёт; найти достоверность и статус валидации.</x:v>
      </x:c>
      <x:c r="F9" s="41" t="str">
        <x:v>Не путает заполненность с достоверностью; видит PENDING.</x:v>
      </x:c>
    </x:row>
    <x:row r="10" ht="84" hidden="0" customHeight="1">
      <x:c r="A10" s="38" t="str">
        <x:v>P01</x:v>
      </x:c>
      <x:c r="B10" s="38" t="str">
        <x:v>PROFESSIONAL</x:v>
      </x:c>
      <x:c r="C10" s="38" t="str">
        <x:v>Границы назначения</x:v>
      </x:c>
      <x:c r="D10" s="38" t="str">
        <x:v>CRITICAL</x:v>
      </x:c>
      <x:c r="E10" s="41" t="str">
        <x:v>Найти intended use и ограничения protected modes.</x:v>
      </x:c>
      <x:c r="F10" s="41" t="str">
        <x:v>Корректно описывает ограничения.</x:v>
      </x:c>
    </x:row>
    <x:row r="11" ht="96" hidden="0" customHeight="1">
      <x:c r="A11" s="38" t="str">
        <x:v>P02</x:v>
      </x:c>
      <x:c r="B11" s="38" t="str">
        <x:v>PROFESSIONAL</x:v>
      </x:c>
      <x:c r="C11" s="38" t="str">
        <x:v>Доказательность</x:v>
      </x:c>
      <x:c r="D11" s="38" t="str">
        <x:v>CRITICAL</x:v>
      </x:c>
      <x:c r="E11" s="41" t="str">
        <x:v>Найти provenance, confidence, формулы и статус валидации.</x:v>
      </x:c>
      <x:c r="F11" s="41" t="str">
        <x:v>Различает внутреннее подтверждение и внешнее evidence.</x:v>
      </x:c>
    </x:row>
    <x:row r="12" ht="96" hidden="0" customHeight="1">
      <x:c r="A12" s="38" t="str">
        <x:v>P03</x:v>
      </x:c>
      <x:c r="B12" s="38" t="str">
        <x:v>PROFESSIONAL</x:v>
      </x:c>
      <x:c r="C12" s="38" t="str">
        <x:v>Оценить приоритеты</x:v>
      </x:c>
      <x:c r="D12" s="38" t="str">
        <x:v>CORE</x:v>
      </x:c>
      <x:c r="E12" s="41" t="str">
        <x:v>Оценить пять приоритетов по значимости и безопасности.</x:v>
      </x:c>
      <x:c r="F12" s="41" t="str">
        <x:v>Нет потенциально опасного совета; findings классифицированы.</x:v>
      </x:c>
    </x:row>
    <x:row r="13" ht="96" hidden="0" customHeight="1">
      <x:c r="A13" s="38" t="str">
        <x:v>P04</x:v>
      </x:c>
      <x:c r="B13" s="38" t="str">
        <x:v>PROFESSIONAL</x:v>
      </x:c>
      <x:c r="C13" s="38" t="str">
        <x:v>Риск интерпретации</x:v>
      </x:c>
      <x:c r="D13" s="38" t="str">
        <x:v>CORE</x:v>
      </x:c>
      <x:c r="E13" s="41" t="str">
        <x:v>Найти места возможной клинической переинтерпретации.</x:v>
      </x:c>
      <x:c r="F13" s="41" t="str">
        <x:v>Выявлены риски и предложены безопасные формулировки.</x:v>
      </x:c>
    </x:row>
  </x:sheetData>
  <x:pageMargins left="0.7" right="0.7" top="0.75" bottom="0.75" header="0.3" footer="0.3"/>
  <x:tableParts count="1">
    <x:tablePart xmlns:r="http://schemas.openxmlformats.org/officeDocument/2006/relationships" r:id="Re08f7709fb4440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15" hidden="0" customHeight="1">
      <x:c r="A1" s="37" t="str">
        <x:v>participant_id</x:v>
      </x:c>
      <x:c r="B1" s="37" t="str">
        <x:v>track</x:v>
      </x:c>
      <x:c r="C1" s="37" t="str">
        <x:v>task_id</x:v>
      </x:c>
      <x:c r="D1" s="37" t="str">
        <x:v>task_name</x:v>
      </x:c>
      <x:c r="E1" s="37" t="str">
        <x:v>criticality</x:v>
      </x:c>
      <x:c r="F1" s="37" t="str">
        <x:v>start_time</x:v>
      </x:c>
      <x:c r="G1" s="37" t="str">
        <x:v>end_time</x:v>
      </x:c>
      <x:c r="H1" s="37" t="str">
        <x:v>duration_sec</x:v>
      </x:c>
      <x:c r="I1" s="37" t="str">
        <x:v>completed</x:v>
      </x:c>
      <x:c r="J1" s="37" t="str">
        <x:v>completed_without_help</x:v>
      </x:c>
      <x:c r="K1" s="37" t="str">
        <x:v>moderator_help_count</x:v>
      </x:c>
      <x:c r="L1" s="37" t="str">
        <x:v>wrong_turns</x:v>
      </x:c>
      <x:c r="M1" s="37" t="str">
        <x:v>critical_misinterpretation</x:v>
      </x:c>
      <x:c r="N1" s="37" t="str">
        <x:v>seq_1_7</x:v>
      </x:c>
      <x:c r="O1" s="37" t="str">
        <x:v>participant_quote</x:v>
      </x:c>
      <x:c r="P1" s="37" t="str">
        <x:v>observed_behavior</x:v>
      </x:c>
      <x:c r="Q1" s="37" t="str">
        <x:v>issue_ids</x:v>
      </x:c>
      <x:c r="R1" s="37" t="str">
        <x:v>notes</x:v>
      </x:c>
    </x:row>
    <x:row r="2" ht="15" hidden="0" customHeight="1">
      <x:c r="A2" s="38" t="str">
        <x:v>C01</x:v>
      </x:c>
      <x:c r="B2" s="38" t="str">
        <x:v>CONSUMER</x:v>
      </x:c>
      <x:c r="C2" s="38" t="str">
        <x:v>C01</x:v>
      </x:c>
      <x:c r="D2" s="38" t="str">
        <x:v>Понять назначение</x:v>
      </x:c>
      <x:c r="E2" s="38" t="str">
        <x:v>CRITICAL</x:v>
      </x:c>
      <x:c r="F2" s="38" t="str"/>
      <x:c r="G2" s="38" t="str"/>
      <x:c r="H2" s="38" t="str"/>
      <x:c r="I2" s="38" t="str">
        <x:v>NOT_RUN</x:v>
      </x:c>
      <x:c r="J2" s="38" t="str">
        <x:v>NOT_RUN</x:v>
      </x:c>
      <x:c r="K2" s="38" t="str"/>
      <x:c r="L2" s="38" t="str"/>
      <x:c r="M2" s="38" t="str">
        <x:v>NO</x:v>
      </x:c>
      <x:c r="N2" s="38" t="str"/>
      <x:c r="O2" s="41" t="str"/>
      <x:c r="P2" s="41" t="str"/>
      <x:c r="Q2" s="41" t="str"/>
      <x:c r="R2" s="41" t="str"/>
    </x:row>
    <x:row r="3" ht="15" hidden="0" customHeight="1">
      <x:c r="A3" s="38" t="str">
        <x:v>C01</x:v>
      </x:c>
      <x:c r="B3" s="38" t="str">
        <x:v>CONSUMER</x:v>
      </x:c>
      <x:c r="C3" s="38" t="str">
        <x:v>C02</x:v>
      </x:c>
      <x:c r="D3" s="38" t="str">
        <x:v>Рассчитать потребности</x:v>
      </x:c>
      <x:c r="E3" s="38" t="str">
        <x:v>CRITICAL</x:v>
      </x:c>
      <x:c r="F3" s="38" t="str"/>
      <x:c r="G3" s="38" t="str"/>
      <x:c r="H3" s="38" t="str"/>
      <x:c r="I3" s="38" t="str">
        <x:v>NOT_RUN</x:v>
      </x:c>
      <x:c r="J3" s="38" t="str">
        <x:v>NOT_RUN</x:v>
      </x:c>
      <x:c r="K3" s="38" t="str"/>
      <x:c r="L3" s="38" t="str"/>
      <x:c r="M3" s="38" t="str">
        <x:v>NO</x:v>
      </x:c>
      <x:c r="N3" s="38" t="str"/>
      <x:c r="O3" s="41" t="str"/>
      <x:c r="P3" s="41" t="str"/>
      <x:c r="Q3" s="41" t="str"/>
      <x:c r="R3" s="41" t="str"/>
    </x:row>
    <x:row r="4" ht="15" hidden="0" customHeight="1">
      <x:c r="A4" s="38" t="str">
        <x:v>C01</x:v>
      </x:c>
      <x:c r="B4" s="38" t="str">
        <x:v>CONSUMER</x:v>
      </x:c>
      <x:c r="C4" s="38" t="str">
        <x:v>C03</x:v>
      </x:c>
      <x:c r="D4" s="38" t="str">
        <x:v>Собрать фрагмент рациона</x:v>
      </x:c>
      <x:c r="E4" s="38" t="str">
        <x:v>CORE</x:v>
      </x:c>
      <x:c r="F4" s="38" t="str"/>
      <x:c r="G4" s="38" t="str"/>
      <x:c r="H4" s="38" t="str"/>
      <x:c r="I4" s="38" t="str">
        <x:v>NOT_RUN</x:v>
      </x:c>
      <x:c r="J4" s="38" t="str">
        <x:v>NOT_RUN</x:v>
      </x:c>
      <x:c r="K4" s="38" t="str"/>
      <x:c r="L4" s="38" t="str"/>
      <x:c r="M4" s="38" t="str">
        <x:v>NO</x:v>
      </x:c>
      <x:c r="N4" s="38" t="str"/>
      <x:c r="O4" s="41" t="str"/>
      <x:c r="P4" s="41" t="str"/>
      <x:c r="Q4" s="41" t="str"/>
      <x:c r="R4" s="41" t="str"/>
    </x:row>
    <x:row r="5" ht="15" hidden="0" customHeight="1">
      <x:c r="A5" s="38" t="str">
        <x:v>C01</x:v>
      </x:c>
      <x:c r="B5" s="38" t="str">
        <x:v>CONSUMER</x:v>
      </x:c>
      <x:c r="C5" s="38" t="str">
        <x:v>C04</x:v>
      </x:c>
      <x:c r="D5" s="38" t="str">
        <x:v>Распознать предварительный результат</x:v>
      </x:c>
      <x:c r="E5" s="38" t="str">
        <x:v>CRITICAL</x:v>
      </x:c>
      <x:c r="F5" s="38" t="str"/>
      <x:c r="G5" s="38" t="str"/>
      <x:c r="H5" s="38" t="str"/>
      <x:c r="I5" s="38" t="str">
        <x:v>NOT_RUN</x:v>
      </x:c>
      <x:c r="J5" s="38" t="str">
        <x:v>NOT_RUN</x:v>
      </x:c>
      <x:c r="K5" s="38" t="str"/>
      <x:c r="L5" s="38" t="str"/>
      <x:c r="M5" s="38" t="str">
        <x:v>NO</x:v>
      </x:c>
      <x:c r="N5" s="38" t="str"/>
      <x:c r="O5" s="41" t="str"/>
      <x:c r="P5" s="41" t="str"/>
      <x:c r="Q5" s="41" t="str"/>
      <x:c r="R5" s="41" t="str"/>
    </x:row>
    <x:row r="6" ht="15" hidden="0" customHeight="1">
      <x:c r="A6" s="38" t="str">
        <x:v>C01</x:v>
      </x:c>
      <x:c r="B6" s="38" t="str">
        <x:v>CONSUMER</x:v>
      </x:c>
      <x:c r="C6" s="38" t="str">
        <x:v>C05</x:v>
      </x:c>
      <x:c r="D6" s="38" t="str">
        <x:v>Подтвердить полный день</x:v>
      </x:c>
      <x:c r="E6" s="38" t="str">
        <x:v>CORE</x:v>
      </x:c>
      <x:c r="F6" s="38" t="str"/>
      <x:c r="G6" s="38" t="str"/>
      <x:c r="H6" s="38" t="str"/>
      <x:c r="I6" s="38" t="str">
        <x:v>NOT_RUN</x:v>
      </x:c>
      <x:c r="J6" s="38" t="str">
        <x:v>NOT_RUN</x:v>
      </x:c>
      <x:c r="K6" s="38" t="str"/>
      <x:c r="L6" s="38" t="str"/>
      <x:c r="M6" s="38" t="str">
        <x:v>NO</x:v>
      </x:c>
      <x:c r="N6" s="38" t="str"/>
      <x:c r="O6" s="41" t="str"/>
      <x:c r="P6" s="41" t="str"/>
      <x:c r="Q6" s="41" t="str"/>
      <x:c r="R6" s="41" t="str"/>
    </x:row>
    <x:row r="7" ht="15" hidden="0" customHeight="1">
      <x:c r="A7" s="38" t="str">
        <x:v>C01</x:v>
      </x:c>
      <x:c r="B7" s="38" t="str">
        <x:v>CONSUMER</x:v>
      </x:c>
      <x:c r="C7" s="38" t="str">
        <x:v>C06</x:v>
      </x:c>
      <x:c r="D7" s="38" t="str">
        <x:v>Прочитать приоритеты</x:v>
      </x:c>
      <x:c r="E7" s="38" t="str">
        <x:v>CRITICAL</x:v>
      </x:c>
      <x:c r="F7" s="38" t="str"/>
      <x:c r="G7" s="38" t="str"/>
      <x:c r="H7" s="38" t="str"/>
      <x:c r="I7" s="38" t="str">
        <x:v>NOT_RUN</x:v>
      </x:c>
      <x:c r="J7" s="38" t="str">
        <x:v>NOT_RUN</x:v>
      </x:c>
      <x:c r="K7" s="38" t="str"/>
      <x:c r="L7" s="38" t="str"/>
      <x:c r="M7" s="38" t="str">
        <x:v>NO</x:v>
      </x:c>
      <x:c r="N7" s="38" t="str"/>
      <x:c r="O7" s="41" t="str"/>
      <x:c r="P7" s="41" t="str"/>
      <x:c r="Q7" s="41" t="str"/>
      <x:c r="R7" s="41" t="str"/>
    </x:row>
    <x:row r="8" ht="15" hidden="0" customHeight="1">
      <x:c r="A8" s="38" t="str">
        <x:v>C01</x:v>
      </x:c>
      <x:c r="B8" s="38" t="str">
        <x:v>CONSUMER</x:v>
      </x:c>
      <x:c r="C8" s="38" t="str">
        <x:v>C07</x:v>
      </x:c>
      <x:c r="D8" s="38" t="str">
        <x:v>Различить аналитические слои</x:v>
      </x:c>
      <x:c r="E8" s="38" t="str">
        <x:v>CORE</x:v>
      </x:c>
      <x:c r="F8" s="38" t="str"/>
      <x:c r="G8" s="38" t="str"/>
      <x:c r="H8" s="38" t="str"/>
      <x:c r="I8" s="38" t="str">
        <x:v>NOT_RUN</x:v>
      </x:c>
      <x:c r="J8" s="38" t="str">
        <x:v>NOT_RUN</x:v>
      </x:c>
      <x:c r="K8" s="38" t="str"/>
      <x:c r="L8" s="38" t="str"/>
      <x:c r="M8" s="38" t="str">
        <x:v>NO</x:v>
      </x:c>
      <x:c r="N8" s="38" t="str"/>
      <x:c r="O8" s="41" t="str"/>
      <x:c r="P8" s="41" t="str"/>
      <x:c r="Q8" s="41" t="str"/>
      <x:c r="R8" s="41" t="str"/>
    </x:row>
    <x:row r="9" ht="15" hidden="0" customHeight="1">
      <x:c r="A9" s="38" t="str">
        <x:v>C01</x:v>
      </x:c>
      <x:c r="B9" s="38" t="str">
        <x:v>CONSUMER</x:v>
      </x:c>
      <x:c r="C9" s="38" t="str">
        <x:v>C08</x:v>
      </x:c>
      <x:c r="D9" s="38" t="str">
        <x:v>Сохранить и оценить доверие</x:v>
      </x:c>
      <x:c r="E9" s="38" t="str">
        <x:v>CRITICAL</x:v>
      </x:c>
      <x:c r="F9" s="38" t="str"/>
      <x:c r="G9" s="38" t="str"/>
      <x:c r="H9" s="38" t="str"/>
      <x:c r="I9" s="38" t="str">
        <x:v>NOT_RUN</x:v>
      </x:c>
      <x:c r="J9" s="38" t="str">
        <x:v>NOT_RUN</x:v>
      </x:c>
      <x:c r="K9" s="38" t="str"/>
      <x:c r="L9" s="38" t="str"/>
      <x:c r="M9" s="38" t="str">
        <x:v>NO</x:v>
      </x:c>
      <x:c r="N9" s="38" t="str"/>
      <x:c r="O9" s="41" t="str"/>
      <x:c r="P9" s="41" t="str"/>
      <x:c r="Q9" s="41" t="str"/>
      <x:c r="R9" s="41" t="str"/>
    </x:row>
    <x:row r="10" ht="15" hidden="0" customHeight="1">
      <x:c r="A10" s="38" t="str">
        <x:v>C02</x:v>
      </x:c>
      <x:c r="B10" s="38" t="str">
        <x:v>CONSUMER</x:v>
      </x:c>
      <x:c r="C10" s="38" t="str">
        <x:v>C01</x:v>
      </x:c>
      <x:c r="D10" s="38" t="str">
        <x:v>Понять назначение</x:v>
      </x:c>
      <x:c r="E10" s="38" t="str">
        <x:v>CRITICAL</x:v>
      </x:c>
      <x:c r="F10" s="38" t="str"/>
      <x:c r="G10" s="38" t="str"/>
      <x:c r="H10" s="38" t="str"/>
      <x:c r="I10" s="38" t="str">
        <x:v>NOT_RUN</x:v>
      </x:c>
      <x:c r="J10" s="38" t="str">
        <x:v>NOT_RUN</x:v>
      </x:c>
      <x:c r="K10" s="38" t="str"/>
      <x:c r="L10" s="38" t="str"/>
      <x:c r="M10" s="38" t="str">
        <x:v>NO</x:v>
      </x:c>
      <x:c r="N10" s="38" t="str"/>
      <x:c r="O10" s="41" t="str"/>
      <x:c r="P10" s="41" t="str"/>
      <x:c r="Q10" s="41" t="str"/>
      <x:c r="R10" s="41" t="str"/>
    </x:row>
    <x:row r="11" ht="15" hidden="0" customHeight="1">
      <x:c r="A11" s="38" t="str">
        <x:v>C02</x:v>
      </x:c>
      <x:c r="B11" s="38" t="str">
        <x:v>CONSUMER</x:v>
      </x:c>
      <x:c r="C11" s="38" t="str">
        <x:v>C02</x:v>
      </x:c>
      <x:c r="D11" s="38" t="str">
        <x:v>Рассчитать потребности</x:v>
      </x:c>
      <x:c r="E11" s="38" t="str">
        <x:v>CRITICAL</x:v>
      </x:c>
      <x:c r="F11" s="38" t="str"/>
      <x:c r="G11" s="38" t="str"/>
      <x:c r="H11" s="38" t="str"/>
      <x:c r="I11" s="38" t="str">
        <x:v>NOT_RUN</x:v>
      </x:c>
      <x:c r="J11" s="38" t="str">
        <x:v>NOT_RUN</x:v>
      </x:c>
      <x:c r="K11" s="38" t="str"/>
      <x:c r="L11" s="38" t="str"/>
      <x:c r="M11" s="38" t="str">
        <x:v>NO</x:v>
      </x:c>
      <x:c r="N11" s="38" t="str"/>
      <x:c r="O11" s="41" t="str"/>
      <x:c r="P11" s="41" t="str"/>
      <x:c r="Q11" s="41" t="str"/>
      <x:c r="R11" s="41" t="str"/>
    </x:row>
    <x:row r="12" ht="15" hidden="0" customHeight="1">
      <x:c r="A12" s="38" t="str">
        <x:v>C02</x:v>
      </x:c>
      <x:c r="B12" s="38" t="str">
        <x:v>CONSUMER</x:v>
      </x:c>
      <x:c r="C12" s="38" t="str">
        <x:v>C03</x:v>
      </x:c>
      <x:c r="D12" s="38" t="str">
        <x:v>Собрать фрагмент рациона</x:v>
      </x:c>
      <x:c r="E12" s="38" t="str">
        <x:v>CORE</x:v>
      </x:c>
      <x:c r="F12" s="38" t="str"/>
      <x:c r="G12" s="38" t="str"/>
      <x:c r="H12" s="38" t="str"/>
      <x:c r="I12" s="38" t="str">
        <x:v>NOT_RUN</x:v>
      </x:c>
      <x:c r="J12" s="38" t="str">
        <x:v>NOT_RUN</x:v>
      </x:c>
      <x:c r="K12" s="38" t="str"/>
      <x:c r="L12" s="38" t="str"/>
      <x:c r="M12" s="38" t="str">
        <x:v>NO</x:v>
      </x:c>
      <x:c r="N12" s="38" t="str"/>
      <x:c r="O12" s="41" t="str"/>
      <x:c r="P12" s="41" t="str"/>
      <x:c r="Q12" s="41" t="str"/>
      <x:c r="R12" s="41" t="str"/>
    </x:row>
    <x:row r="13" ht="15" hidden="0" customHeight="1">
      <x:c r="A13" s="38" t="str">
        <x:v>C02</x:v>
      </x:c>
      <x:c r="B13" s="38" t="str">
        <x:v>CONSUMER</x:v>
      </x:c>
      <x:c r="C13" s="38" t="str">
        <x:v>C04</x:v>
      </x:c>
      <x:c r="D13" s="38" t="str">
        <x:v>Распознать предварительный результат</x:v>
      </x:c>
      <x:c r="E13" s="38" t="str">
        <x:v>CRITICAL</x:v>
      </x:c>
      <x:c r="F13" s="38" t="str"/>
      <x:c r="G13" s="38" t="str"/>
      <x:c r="H13" s="38" t="str"/>
      <x:c r="I13" s="38" t="str">
        <x:v>NOT_RUN</x:v>
      </x:c>
      <x:c r="J13" s="38" t="str">
        <x:v>NOT_RUN</x:v>
      </x:c>
      <x:c r="K13" s="38" t="str"/>
      <x:c r="L13" s="38" t="str"/>
      <x:c r="M13" s="38" t="str">
        <x:v>NO</x:v>
      </x:c>
      <x:c r="N13" s="38" t="str"/>
      <x:c r="O13" s="41" t="str"/>
      <x:c r="P13" s="41" t="str"/>
      <x:c r="Q13" s="41" t="str"/>
      <x:c r="R13" s="41" t="str"/>
    </x:row>
    <x:row r="14" ht="15" hidden="0" customHeight="1">
      <x:c r="A14" s="38" t="str">
        <x:v>C02</x:v>
      </x:c>
      <x:c r="B14" s="38" t="str">
        <x:v>CONSUMER</x:v>
      </x:c>
      <x:c r="C14" s="38" t="str">
        <x:v>C05</x:v>
      </x:c>
      <x:c r="D14" s="38" t="str">
        <x:v>Подтвердить полный день</x:v>
      </x:c>
      <x:c r="E14" s="38" t="str">
        <x:v>CORE</x:v>
      </x:c>
      <x:c r="F14" s="38" t="str"/>
      <x:c r="G14" s="38" t="str"/>
      <x:c r="H14" s="38" t="str"/>
      <x:c r="I14" s="38" t="str">
        <x:v>NOT_RUN</x:v>
      </x:c>
      <x:c r="J14" s="38" t="str">
        <x:v>NOT_RUN</x:v>
      </x:c>
      <x:c r="K14" s="38" t="str"/>
      <x:c r="L14" s="38" t="str"/>
      <x:c r="M14" s="38" t="str">
        <x:v>NO</x:v>
      </x:c>
      <x:c r="N14" s="38" t="str"/>
      <x:c r="O14" s="41" t="str"/>
      <x:c r="P14" s="41" t="str"/>
      <x:c r="Q14" s="41" t="str"/>
      <x:c r="R14" s="41" t="str"/>
    </x:row>
    <x:row r="15" ht="15" hidden="0" customHeight="1">
      <x:c r="A15" s="38" t="str">
        <x:v>C02</x:v>
      </x:c>
      <x:c r="B15" s="38" t="str">
        <x:v>CONSUMER</x:v>
      </x:c>
      <x:c r="C15" s="38" t="str">
        <x:v>C06</x:v>
      </x:c>
      <x:c r="D15" s="38" t="str">
        <x:v>Прочитать приоритеты</x:v>
      </x:c>
      <x:c r="E15" s="38" t="str">
        <x:v>CRITICAL</x:v>
      </x:c>
      <x:c r="F15" s="38" t="str"/>
      <x:c r="G15" s="38" t="str"/>
      <x:c r="H15" s="38" t="str"/>
      <x:c r="I15" s="38" t="str">
        <x:v>NOT_RUN</x:v>
      </x:c>
      <x:c r="J15" s="38" t="str">
        <x:v>NOT_RUN</x:v>
      </x:c>
      <x:c r="K15" s="38" t="str"/>
      <x:c r="L15" s="38" t="str"/>
      <x:c r="M15" s="38" t="str">
        <x:v>NO</x:v>
      </x:c>
      <x:c r="N15" s="38" t="str"/>
      <x:c r="O15" s="41" t="str"/>
      <x:c r="P15" s="41" t="str"/>
      <x:c r="Q15" s="41" t="str"/>
      <x:c r="R15" s="41" t="str"/>
    </x:row>
    <x:row r="16" ht="15" hidden="0" customHeight="1">
      <x:c r="A16" s="38" t="str">
        <x:v>C02</x:v>
      </x:c>
      <x:c r="B16" s="38" t="str">
        <x:v>CONSUMER</x:v>
      </x:c>
      <x:c r="C16" s="38" t="str">
        <x:v>C07</x:v>
      </x:c>
      <x:c r="D16" s="38" t="str">
        <x:v>Различить аналитические слои</x:v>
      </x:c>
      <x:c r="E16" s="38" t="str">
        <x:v>CORE</x:v>
      </x:c>
      <x:c r="F16" s="38" t="str"/>
      <x:c r="G16" s="38" t="str"/>
      <x:c r="H16" s="38" t="str"/>
      <x:c r="I16" s="38" t="str">
        <x:v>NOT_RUN</x:v>
      </x:c>
      <x:c r="J16" s="38" t="str">
        <x:v>NOT_RUN</x:v>
      </x:c>
      <x:c r="K16" s="38" t="str"/>
      <x:c r="L16" s="38" t="str"/>
      <x:c r="M16" s="38" t="str">
        <x:v>NO</x:v>
      </x:c>
      <x:c r="N16" s="38" t="str"/>
      <x:c r="O16" s="41" t="str"/>
      <x:c r="P16" s="41" t="str"/>
      <x:c r="Q16" s="41" t="str"/>
      <x:c r="R16" s="41" t="str"/>
    </x:row>
    <x:row r="17" ht="15" hidden="0" customHeight="1">
      <x:c r="A17" s="38" t="str">
        <x:v>C02</x:v>
      </x:c>
      <x:c r="B17" s="38" t="str">
        <x:v>CONSUMER</x:v>
      </x:c>
      <x:c r="C17" s="38" t="str">
        <x:v>C08</x:v>
      </x:c>
      <x:c r="D17" s="38" t="str">
        <x:v>Сохранить и оценить доверие</x:v>
      </x:c>
      <x:c r="E17" s="38" t="str">
        <x:v>CRITICAL</x:v>
      </x:c>
      <x:c r="F17" s="38" t="str"/>
      <x:c r="G17" s="38" t="str"/>
      <x:c r="H17" s="38" t="str"/>
      <x:c r="I17" s="38" t="str">
        <x:v>NOT_RUN</x:v>
      </x:c>
      <x:c r="J17" s="38" t="str">
        <x:v>NOT_RUN</x:v>
      </x:c>
      <x:c r="K17" s="38" t="str"/>
      <x:c r="L17" s="38" t="str"/>
      <x:c r="M17" s="38" t="str">
        <x:v>NO</x:v>
      </x:c>
      <x:c r="N17" s="38" t="str"/>
      <x:c r="O17" s="41" t="str"/>
      <x:c r="P17" s="41" t="str"/>
      <x:c r="Q17" s="41" t="str"/>
      <x:c r="R17" s="41" t="str"/>
    </x:row>
    <x:row r="18" ht="15" hidden="0" customHeight="1">
      <x:c r="A18" s="38" t="str">
        <x:v>C03</x:v>
      </x:c>
      <x:c r="B18" s="38" t="str">
        <x:v>CONSUMER</x:v>
      </x:c>
      <x:c r="C18" s="38" t="str">
        <x:v>C01</x:v>
      </x:c>
      <x:c r="D18" s="38" t="str">
        <x:v>Понять назначение</x:v>
      </x:c>
      <x:c r="E18" s="38" t="str">
        <x:v>CRITICAL</x:v>
      </x:c>
      <x:c r="F18" s="38" t="str"/>
      <x:c r="G18" s="38" t="str"/>
      <x:c r="H18" s="38" t="str"/>
      <x:c r="I18" s="38" t="str">
        <x:v>NOT_RUN</x:v>
      </x:c>
      <x:c r="J18" s="38" t="str">
        <x:v>NOT_RUN</x:v>
      </x:c>
      <x:c r="K18" s="38" t="str"/>
      <x:c r="L18" s="38" t="str"/>
      <x:c r="M18" s="38" t="str">
        <x:v>NO</x:v>
      </x:c>
      <x:c r="N18" s="38" t="str"/>
      <x:c r="O18" s="41" t="str"/>
      <x:c r="P18" s="41" t="str"/>
      <x:c r="Q18" s="41" t="str"/>
      <x:c r="R18" s="41" t="str"/>
    </x:row>
    <x:row r="19" ht="15" hidden="0" customHeight="1">
      <x:c r="A19" s="38" t="str">
        <x:v>C03</x:v>
      </x:c>
      <x:c r="B19" s="38" t="str">
        <x:v>CONSUMER</x:v>
      </x:c>
      <x:c r="C19" s="38" t="str">
        <x:v>C02</x:v>
      </x:c>
      <x:c r="D19" s="38" t="str">
        <x:v>Рассчитать потребности</x:v>
      </x:c>
      <x:c r="E19" s="38" t="str">
        <x:v>CRITICAL</x:v>
      </x:c>
      <x:c r="F19" s="38" t="str"/>
      <x:c r="G19" s="38" t="str"/>
      <x:c r="H19" s="38" t="str"/>
      <x:c r="I19" s="38" t="str">
        <x:v>NOT_RUN</x:v>
      </x:c>
      <x:c r="J19" s="38" t="str">
        <x:v>NOT_RUN</x:v>
      </x:c>
      <x:c r="K19" s="38" t="str"/>
      <x:c r="L19" s="38" t="str"/>
      <x:c r="M19" s="38" t="str">
        <x:v>NO</x:v>
      </x:c>
      <x:c r="N19" s="38" t="str"/>
      <x:c r="O19" s="41" t="str"/>
      <x:c r="P19" s="41" t="str"/>
      <x:c r="Q19" s="41" t="str"/>
      <x:c r="R19" s="41" t="str"/>
    </x:row>
    <x:row r="20" ht="15" hidden="0" customHeight="1">
      <x:c r="A20" s="38" t="str">
        <x:v>C03</x:v>
      </x:c>
      <x:c r="B20" s="38" t="str">
        <x:v>CONSUMER</x:v>
      </x:c>
      <x:c r="C20" s="38" t="str">
        <x:v>C03</x:v>
      </x:c>
      <x:c r="D20" s="38" t="str">
        <x:v>Собрать фрагмент рациона</x:v>
      </x:c>
      <x:c r="E20" s="38" t="str">
        <x:v>CORE</x:v>
      </x:c>
      <x:c r="F20" s="38" t="str"/>
      <x:c r="G20" s="38" t="str"/>
      <x:c r="H20" s="38" t="str"/>
      <x:c r="I20" s="38" t="str">
        <x:v>NOT_RUN</x:v>
      </x:c>
      <x:c r="J20" s="38" t="str">
        <x:v>NOT_RUN</x:v>
      </x:c>
      <x:c r="K20" s="38" t="str"/>
      <x:c r="L20" s="38" t="str"/>
      <x:c r="M20" s="38" t="str">
        <x:v>NO</x:v>
      </x:c>
      <x:c r="N20" s="38" t="str"/>
      <x:c r="O20" s="41" t="str"/>
      <x:c r="P20" s="41" t="str"/>
      <x:c r="Q20" s="41" t="str"/>
      <x:c r="R20" s="41" t="str"/>
    </x:row>
    <x:row r="21" ht="15" hidden="0" customHeight="1">
      <x:c r="A21" s="38" t="str">
        <x:v>C03</x:v>
      </x:c>
      <x:c r="B21" s="38" t="str">
        <x:v>CONSUMER</x:v>
      </x:c>
      <x:c r="C21" s="38" t="str">
        <x:v>C04</x:v>
      </x:c>
      <x:c r="D21" s="38" t="str">
        <x:v>Распознать предварительный результат</x:v>
      </x:c>
      <x:c r="E21" s="38" t="str">
        <x:v>CRITICAL</x:v>
      </x:c>
      <x:c r="F21" s="38" t="str"/>
      <x:c r="G21" s="38" t="str"/>
      <x:c r="H21" s="38" t="str"/>
      <x:c r="I21" s="38" t="str">
        <x:v>NOT_RUN</x:v>
      </x:c>
      <x:c r="J21" s="38" t="str">
        <x:v>NOT_RUN</x:v>
      </x:c>
      <x:c r="K21" s="38" t="str"/>
      <x:c r="L21" s="38" t="str"/>
      <x:c r="M21" s="38" t="str">
        <x:v>NO</x:v>
      </x:c>
      <x:c r="N21" s="38" t="str"/>
      <x:c r="O21" s="41" t="str"/>
      <x:c r="P21" s="41" t="str"/>
      <x:c r="Q21" s="41" t="str"/>
      <x:c r="R21" s="41" t="str"/>
    </x:row>
    <x:row r="22" ht="15" hidden="0" customHeight="1">
      <x:c r="A22" s="38" t="str">
        <x:v>C03</x:v>
      </x:c>
      <x:c r="B22" s="38" t="str">
        <x:v>CONSUMER</x:v>
      </x:c>
      <x:c r="C22" s="38" t="str">
        <x:v>C05</x:v>
      </x:c>
      <x:c r="D22" s="38" t="str">
        <x:v>Подтвердить полный день</x:v>
      </x:c>
      <x:c r="E22" s="38" t="str">
        <x:v>CORE</x:v>
      </x:c>
      <x:c r="F22" s="38" t="str"/>
      <x:c r="G22" s="38" t="str"/>
      <x:c r="H22" s="38" t="str"/>
      <x:c r="I22" s="38" t="str">
        <x:v>NOT_RUN</x:v>
      </x:c>
      <x:c r="J22" s="38" t="str">
        <x:v>NOT_RUN</x:v>
      </x:c>
      <x:c r="K22" s="38" t="str"/>
      <x:c r="L22" s="38" t="str"/>
      <x:c r="M22" s="38" t="str">
        <x:v>NO</x:v>
      </x:c>
      <x:c r="N22" s="38" t="str"/>
      <x:c r="O22" s="41" t="str"/>
      <x:c r="P22" s="41" t="str"/>
      <x:c r="Q22" s="41" t="str"/>
      <x:c r="R22" s="41" t="str"/>
    </x:row>
    <x:row r="23" ht="15" hidden="0" customHeight="1">
      <x:c r="A23" s="38" t="str">
        <x:v>C03</x:v>
      </x:c>
      <x:c r="B23" s="38" t="str">
        <x:v>CONSUMER</x:v>
      </x:c>
      <x:c r="C23" s="38" t="str">
        <x:v>C06</x:v>
      </x:c>
      <x:c r="D23" s="38" t="str">
        <x:v>Прочитать приоритеты</x:v>
      </x:c>
      <x:c r="E23" s="38" t="str">
        <x:v>CRITICAL</x:v>
      </x:c>
      <x:c r="F23" s="38" t="str"/>
      <x:c r="G23" s="38" t="str"/>
      <x:c r="H23" s="38" t="str"/>
      <x:c r="I23" s="38" t="str">
        <x:v>NOT_RUN</x:v>
      </x:c>
      <x:c r="J23" s="38" t="str">
        <x:v>NOT_RUN</x:v>
      </x:c>
      <x:c r="K23" s="38" t="str"/>
      <x:c r="L23" s="38" t="str"/>
      <x:c r="M23" s="38" t="str">
        <x:v>NO</x:v>
      </x:c>
      <x:c r="N23" s="38" t="str"/>
      <x:c r="O23" s="41" t="str"/>
      <x:c r="P23" s="41" t="str"/>
      <x:c r="Q23" s="41" t="str"/>
      <x:c r="R23" s="41" t="str"/>
    </x:row>
    <x:row r="24" ht="15" hidden="0" customHeight="1">
      <x:c r="A24" s="38" t="str">
        <x:v>C03</x:v>
      </x:c>
      <x:c r="B24" s="38" t="str">
        <x:v>CONSUMER</x:v>
      </x:c>
      <x:c r="C24" s="38" t="str">
        <x:v>C07</x:v>
      </x:c>
      <x:c r="D24" s="38" t="str">
        <x:v>Различить аналитические слои</x:v>
      </x:c>
      <x:c r="E24" s="38" t="str">
        <x:v>CORE</x:v>
      </x:c>
      <x:c r="F24" s="38" t="str"/>
      <x:c r="G24" s="38" t="str"/>
      <x:c r="H24" s="38" t="str"/>
      <x:c r="I24" s="38" t="str">
        <x:v>NOT_RUN</x:v>
      </x:c>
      <x:c r="J24" s="38" t="str">
        <x:v>NOT_RUN</x:v>
      </x:c>
      <x:c r="K24" s="38" t="str"/>
      <x:c r="L24" s="38" t="str"/>
      <x:c r="M24" s="38" t="str">
        <x:v>NO</x:v>
      </x:c>
      <x:c r="N24" s="38" t="str"/>
      <x:c r="O24" s="41" t="str"/>
      <x:c r="P24" s="41" t="str"/>
      <x:c r="Q24" s="41" t="str"/>
      <x:c r="R24" s="41" t="str"/>
    </x:row>
    <x:row r="25" ht="15" hidden="0" customHeight="1">
      <x:c r="A25" s="38" t="str">
        <x:v>C03</x:v>
      </x:c>
      <x:c r="B25" s="38" t="str">
        <x:v>CONSUMER</x:v>
      </x:c>
      <x:c r="C25" s="38" t="str">
        <x:v>C08</x:v>
      </x:c>
      <x:c r="D25" s="38" t="str">
        <x:v>Сохранить и оценить доверие</x:v>
      </x:c>
      <x:c r="E25" s="38" t="str">
        <x:v>CRITICAL</x:v>
      </x:c>
      <x:c r="F25" s="38" t="str"/>
      <x:c r="G25" s="38" t="str"/>
      <x:c r="H25" s="38" t="str"/>
      <x:c r="I25" s="38" t="str">
        <x:v>NOT_RUN</x:v>
      </x:c>
      <x:c r="J25" s="38" t="str">
        <x:v>NOT_RUN</x:v>
      </x:c>
      <x:c r="K25" s="38" t="str"/>
      <x:c r="L25" s="38" t="str"/>
      <x:c r="M25" s="38" t="str">
        <x:v>NO</x:v>
      </x:c>
      <x:c r="N25" s="38" t="str"/>
      <x:c r="O25" s="41" t="str"/>
      <x:c r="P25" s="41" t="str"/>
      <x:c r="Q25" s="41" t="str"/>
      <x:c r="R25" s="41" t="str"/>
    </x:row>
    <x:row r="26" ht="15" hidden="0" customHeight="1">
      <x:c r="A26" s="38" t="str">
        <x:v>C04</x:v>
      </x:c>
      <x:c r="B26" s="38" t="str">
        <x:v>CONSUMER</x:v>
      </x:c>
      <x:c r="C26" s="38" t="str">
        <x:v>C01</x:v>
      </x:c>
      <x:c r="D26" s="38" t="str">
        <x:v>Понять назначение</x:v>
      </x:c>
      <x:c r="E26" s="38" t="str">
        <x:v>CRITICAL</x:v>
      </x:c>
      <x:c r="F26" s="38" t="str"/>
      <x:c r="G26" s="38" t="str"/>
      <x:c r="H26" s="38" t="str"/>
      <x:c r="I26" s="38" t="str">
        <x:v>NOT_RUN</x:v>
      </x:c>
      <x:c r="J26" s="38" t="str">
        <x:v>NOT_RUN</x:v>
      </x:c>
      <x:c r="K26" s="38" t="str"/>
      <x:c r="L26" s="38" t="str"/>
      <x:c r="M26" s="38" t="str">
        <x:v>NO</x:v>
      </x:c>
      <x:c r="N26" s="38" t="str"/>
      <x:c r="O26" s="41" t="str"/>
      <x:c r="P26" s="41" t="str"/>
      <x:c r="Q26" s="41" t="str"/>
      <x:c r="R26" s="41" t="str"/>
    </x:row>
    <x:row r="27" ht="15" hidden="0" customHeight="1">
      <x:c r="A27" s="38" t="str">
        <x:v>C04</x:v>
      </x:c>
      <x:c r="B27" s="38" t="str">
        <x:v>CONSUMER</x:v>
      </x:c>
      <x:c r="C27" s="38" t="str">
        <x:v>C02</x:v>
      </x:c>
      <x:c r="D27" s="38" t="str">
        <x:v>Рассчитать потребности</x:v>
      </x:c>
      <x:c r="E27" s="38" t="str">
        <x:v>CRITICAL</x:v>
      </x:c>
      <x:c r="F27" s="38" t="str"/>
      <x:c r="G27" s="38" t="str"/>
      <x:c r="H27" s="38" t="str"/>
      <x:c r="I27" s="38" t="str">
        <x:v>NOT_RUN</x:v>
      </x:c>
      <x:c r="J27" s="38" t="str">
        <x:v>NOT_RUN</x:v>
      </x:c>
      <x:c r="K27" s="38" t="str"/>
      <x:c r="L27" s="38" t="str"/>
      <x:c r="M27" s="38" t="str">
        <x:v>NO</x:v>
      </x:c>
      <x:c r="N27" s="38" t="str"/>
      <x:c r="O27" s="41" t="str"/>
      <x:c r="P27" s="41" t="str"/>
      <x:c r="Q27" s="41" t="str"/>
      <x:c r="R27" s="41" t="str"/>
    </x:row>
    <x:row r="28" ht="15" hidden="0" customHeight="1">
      <x:c r="A28" s="38" t="str">
        <x:v>C04</x:v>
      </x:c>
      <x:c r="B28" s="38" t="str">
        <x:v>CONSUMER</x:v>
      </x:c>
      <x:c r="C28" s="38" t="str">
        <x:v>C03</x:v>
      </x:c>
      <x:c r="D28" s="38" t="str">
        <x:v>Собрать фрагмент рациона</x:v>
      </x:c>
      <x:c r="E28" s="38" t="str">
        <x:v>CORE</x:v>
      </x:c>
      <x:c r="F28" s="38" t="str"/>
      <x:c r="G28" s="38" t="str"/>
      <x:c r="H28" s="38" t="str"/>
      <x:c r="I28" s="38" t="str">
        <x:v>NOT_RUN</x:v>
      </x:c>
      <x:c r="J28" s="38" t="str">
        <x:v>NOT_RUN</x:v>
      </x:c>
      <x:c r="K28" s="38" t="str"/>
      <x:c r="L28" s="38" t="str"/>
      <x:c r="M28" s="38" t="str">
        <x:v>NO</x:v>
      </x:c>
      <x:c r="N28" s="38" t="str"/>
      <x:c r="O28" s="41" t="str"/>
      <x:c r="P28" s="41" t="str"/>
      <x:c r="Q28" s="41" t="str"/>
      <x:c r="R28" s="41" t="str"/>
    </x:row>
    <x:row r="29" ht="15" hidden="0" customHeight="1">
      <x:c r="A29" s="38" t="str">
        <x:v>C04</x:v>
      </x:c>
      <x:c r="B29" s="38" t="str">
        <x:v>CONSUMER</x:v>
      </x:c>
      <x:c r="C29" s="38" t="str">
        <x:v>C04</x:v>
      </x:c>
      <x:c r="D29" s="38" t="str">
        <x:v>Распознать предварительный результат</x:v>
      </x:c>
      <x:c r="E29" s="38" t="str">
        <x:v>CRITICAL</x:v>
      </x:c>
      <x:c r="F29" s="38" t="str"/>
      <x:c r="G29" s="38" t="str"/>
      <x:c r="H29" s="38" t="str"/>
      <x:c r="I29" s="38" t="str">
        <x:v>NOT_RUN</x:v>
      </x:c>
      <x:c r="J29" s="38" t="str">
        <x:v>NOT_RUN</x:v>
      </x:c>
      <x:c r="K29" s="38" t="str"/>
      <x:c r="L29" s="38" t="str"/>
      <x:c r="M29" s="38" t="str">
        <x:v>NO</x:v>
      </x:c>
      <x:c r="N29" s="38" t="str"/>
      <x:c r="O29" s="41" t="str"/>
      <x:c r="P29" s="41" t="str"/>
      <x:c r="Q29" s="41" t="str"/>
      <x:c r="R29" s="41" t="str"/>
    </x:row>
    <x:row r="30" ht="15" hidden="0" customHeight="1">
      <x:c r="A30" s="38" t="str">
        <x:v>C04</x:v>
      </x:c>
      <x:c r="B30" s="38" t="str">
        <x:v>CONSUMER</x:v>
      </x:c>
      <x:c r="C30" s="38" t="str">
        <x:v>C05</x:v>
      </x:c>
      <x:c r="D30" s="38" t="str">
        <x:v>Подтвердить полный день</x:v>
      </x:c>
      <x:c r="E30" s="38" t="str">
        <x:v>CORE</x:v>
      </x:c>
      <x:c r="F30" s="38" t="str"/>
      <x:c r="G30" s="38" t="str"/>
      <x:c r="H30" s="38" t="str"/>
      <x:c r="I30" s="38" t="str">
        <x:v>NOT_RUN</x:v>
      </x:c>
      <x:c r="J30" s="38" t="str">
        <x:v>NOT_RUN</x:v>
      </x:c>
      <x:c r="K30" s="38" t="str"/>
      <x:c r="L30" s="38" t="str"/>
      <x:c r="M30" s="38" t="str">
        <x:v>NO</x:v>
      </x:c>
      <x:c r="N30" s="38" t="str"/>
      <x:c r="O30" s="41" t="str"/>
      <x:c r="P30" s="41" t="str"/>
      <x:c r="Q30" s="41" t="str"/>
      <x:c r="R30" s="41" t="str"/>
    </x:row>
    <x:row r="31" ht="15" hidden="0" customHeight="1">
      <x:c r="A31" s="38" t="str">
        <x:v>C04</x:v>
      </x:c>
      <x:c r="B31" s="38" t="str">
        <x:v>CONSUMER</x:v>
      </x:c>
      <x:c r="C31" s="38" t="str">
        <x:v>C06</x:v>
      </x:c>
      <x:c r="D31" s="38" t="str">
        <x:v>Прочитать приоритеты</x:v>
      </x:c>
      <x:c r="E31" s="38" t="str">
        <x:v>CRITICAL</x:v>
      </x:c>
      <x:c r="F31" s="38" t="str"/>
      <x:c r="G31" s="38" t="str"/>
      <x:c r="H31" s="38" t="str"/>
      <x:c r="I31" s="38" t="str">
        <x:v>NOT_RUN</x:v>
      </x:c>
      <x:c r="J31" s="38" t="str">
        <x:v>NOT_RUN</x:v>
      </x:c>
      <x:c r="K31" s="38" t="str"/>
      <x:c r="L31" s="38" t="str"/>
      <x:c r="M31" s="38" t="str">
        <x:v>NO</x:v>
      </x:c>
      <x:c r="N31" s="38" t="str"/>
      <x:c r="O31" s="41" t="str"/>
      <x:c r="P31" s="41" t="str"/>
      <x:c r="Q31" s="41" t="str"/>
      <x:c r="R31" s="41" t="str"/>
    </x:row>
    <x:row r="32" ht="15" hidden="0" customHeight="1">
      <x:c r="A32" s="38" t="str">
        <x:v>C04</x:v>
      </x:c>
      <x:c r="B32" s="38" t="str">
        <x:v>CONSUMER</x:v>
      </x:c>
      <x:c r="C32" s="38" t="str">
        <x:v>C07</x:v>
      </x:c>
      <x:c r="D32" s="38" t="str">
        <x:v>Различить аналитические слои</x:v>
      </x:c>
      <x:c r="E32" s="38" t="str">
        <x:v>CORE</x:v>
      </x:c>
      <x:c r="F32" s="38" t="str"/>
      <x:c r="G32" s="38" t="str"/>
      <x:c r="H32" s="38" t="str"/>
      <x:c r="I32" s="38" t="str">
        <x:v>NOT_RUN</x:v>
      </x:c>
      <x:c r="J32" s="38" t="str">
        <x:v>NOT_RUN</x:v>
      </x:c>
      <x:c r="K32" s="38" t="str"/>
      <x:c r="L32" s="38" t="str"/>
      <x:c r="M32" s="38" t="str">
        <x:v>NO</x:v>
      </x:c>
      <x:c r="N32" s="38" t="str"/>
      <x:c r="O32" s="41" t="str"/>
      <x:c r="P32" s="41" t="str"/>
      <x:c r="Q32" s="41" t="str"/>
      <x:c r="R32" s="41" t="str"/>
    </x:row>
    <x:row r="33" ht="15" hidden="0" customHeight="1">
      <x:c r="A33" s="38" t="str">
        <x:v>C04</x:v>
      </x:c>
      <x:c r="B33" s="38" t="str">
        <x:v>CONSUMER</x:v>
      </x:c>
      <x:c r="C33" s="38" t="str">
        <x:v>C08</x:v>
      </x:c>
      <x:c r="D33" s="38" t="str">
        <x:v>Сохранить и оценить доверие</x:v>
      </x:c>
      <x:c r="E33" s="38" t="str">
        <x:v>CRITICAL</x:v>
      </x:c>
      <x:c r="F33" s="38" t="str"/>
      <x:c r="G33" s="38" t="str"/>
      <x:c r="H33" s="38" t="str"/>
      <x:c r="I33" s="38" t="str">
        <x:v>NOT_RUN</x:v>
      </x:c>
      <x:c r="J33" s="38" t="str">
        <x:v>NOT_RUN</x:v>
      </x:c>
      <x:c r="K33" s="38" t="str"/>
      <x:c r="L33" s="38" t="str"/>
      <x:c r="M33" s="38" t="str">
        <x:v>NO</x:v>
      </x:c>
      <x:c r="N33" s="38" t="str"/>
      <x:c r="O33" s="41" t="str"/>
      <x:c r="P33" s="41" t="str"/>
      <x:c r="Q33" s="41" t="str"/>
      <x:c r="R33" s="41" t="str"/>
    </x:row>
    <x:row r="34" ht="15" hidden="0" customHeight="1">
      <x:c r="A34" s="38" t="str">
        <x:v>C05</x:v>
      </x:c>
      <x:c r="B34" s="38" t="str">
        <x:v>CONSUMER</x:v>
      </x:c>
      <x:c r="C34" s="38" t="str">
        <x:v>C01</x:v>
      </x:c>
      <x:c r="D34" s="38" t="str">
        <x:v>Понять назначение</x:v>
      </x:c>
      <x:c r="E34" s="38" t="str">
        <x:v>CRITICAL</x:v>
      </x:c>
      <x:c r="F34" s="38" t="str"/>
      <x:c r="G34" s="38" t="str"/>
      <x:c r="H34" s="38" t="str"/>
      <x:c r="I34" s="38" t="str">
        <x:v>NOT_RUN</x:v>
      </x:c>
      <x:c r="J34" s="38" t="str">
        <x:v>NOT_RUN</x:v>
      </x:c>
      <x:c r="K34" s="38" t="str"/>
      <x:c r="L34" s="38" t="str"/>
      <x:c r="M34" s="38" t="str">
        <x:v>NO</x:v>
      </x:c>
      <x:c r="N34" s="38" t="str"/>
      <x:c r="O34" s="41" t="str"/>
      <x:c r="P34" s="41" t="str"/>
      <x:c r="Q34" s="41" t="str"/>
      <x:c r="R34" s="41" t="str"/>
    </x:row>
    <x:row r="35" ht="15" hidden="0" customHeight="1">
      <x:c r="A35" s="38" t="str">
        <x:v>C05</x:v>
      </x:c>
      <x:c r="B35" s="38" t="str">
        <x:v>CONSUMER</x:v>
      </x:c>
      <x:c r="C35" s="38" t="str">
        <x:v>C02</x:v>
      </x:c>
      <x:c r="D35" s="38" t="str">
        <x:v>Рассчитать потребности</x:v>
      </x:c>
      <x:c r="E35" s="38" t="str">
        <x:v>CRITICAL</x:v>
      </x:c>
      <x:c r="F35" s="38" t="str"/>
      <x:c r="G35" s="38" t="str"/>
      <x:c r="H35" s="38" t="str"/>
      <x:c r="I35" s="38" t="str">
        <x:v>NOT_RUN</x:v>
      </x:c>
      <x:c r="J35" s="38" t="str">
        <x:v>NOT_RUN</x:v>
      </x:c>
      <x:c r="K35" s="38" t="str"/>
      <x:c r="L35" s="38" t="str"/>
      <x:c r="M35" s="38" t="str">
        <x:v>NO</x:v>
      </x:c>
      <x:c r="N35" s="38" t="str"/>
      <x:c r="O35" s="41" t="str"/>
      <x:c r="P35" s="41" t="str"/>
      <x:c r="Q35" s="41" t="str"/>
      <x:c r="R35" s="41" t="str"/>
    </x:row>
    <x:row r="36" ht="15" hidden="0" customHeight="1">
      <x:c r="A36" s="38" t="str">
        <x:v>C05</x:v>
      </x:c>
      <x:c r="B36" s="38" t="str">
        <x:v>CONSUMER</x:v>
      </x:c>
      <x:c r="C36" s="38" t="str">
        <x:v>C03</x:v>
      </x:c>
      <x:c r="D36" s="38" t="str">
        <x:v>Собрать фрагмент рациона</x:v>
      </x:c>
      <x:c r="E36" s="38" t="str">
        <x:v>CORE</x:v>
      </x:c>
      <x:c r="F36" s="38" t="str"/>
      <x:c r="G36" s="38" t="str"/>
      <x:c r="H36" s="38" t="str"/>
      <x:c r="I36" s="38" t="str">
        <x:v>NOT_RUN</x:v>
      </x:c>
      <x:c r="J36" s="38" t="str">
        <x:v>NOT_RUN</x:v>
      </x:c>
      <x:c r="K36" s="38" t="str"/>
      <x:c r="L36" s="38" t="str"/>
      <x:c r="M36" s="38" t="str">
        <x:v>NO</x:v>
      </x:c>
      <x:c r="N36" s="38" t="str"/>
      <x:c r="O36" s="41" t="str"/>
      <x:c r="P36" s="41" t="str"/>
      <x:c r="Q36" s="41" t="str"/>
      <x:c r="R36" s="41" t="str"/>
    </x:row>
    <x:row r="37" ht="15" hidden="0" customHeight="1">
      <x:c r="A37" s="38" t="str">
        <x:v>C05</x:v>
      </x:c>
      <x:c r="B37" s="38" t="str">
        <x:v>CONSUMER</x:v>
      </x:c>
      <x:c r="C37" s="38" t="str">
        <x:v>C04</x:v>
      </x:c>
      <x:c r="D37" s="38" t="str">
        <x:v>Распознать предварительный результат</x:v>
      </x:c>
      <x:c r="E37" s="38" t="str">
        <x:v>CRITICAL</x:v>
      </x:c>
      <x:c r="F37" s="38" t="str"/>
      <x:c r="G37" s="38" t="str"/>
      <x:c r="H37" s="38" t="str"/>
      <x:c r="I37" s="38" t="str">
        <x:v>NOT_RUN</x:v>
      </x:c>
      <x:c r="J37" s="38" t="str">
        <x:v>NOT_RUN</x:v>
      </x:c>
      <x:c r="K37" s="38" t="str"/>
      <x:c r="L37" s="38" t="str"/>
      <x:c r="M37" s="38" t="str">
        <x:v>NO</x:v>
      </x:c>
      <x:c r="N37" s="38" t="str"/>
      <x:c r="O37" s="41" t="str"/>
      <x:c r="P37" s="41" t="str"/>
      <x:c r="Q37" s="41" t="str"/>
      <x:c r="R37" s="41" t="str"/>
    </x:row>
    <x:row r="38" ht="15" hidden="0" customHeight="1">
      <x:c r="A38" s="38" t="str">
        <x:v>C05</x:v>
      </x:c>
      <x:c r="B38" s="38" t="str">
        <x:v>CONSUMER</x:v>
      </x:c>
      <x:c r="C38" s="38" t="str">
        <x:v>C05</x:v>
      </x:c>
      <x:c r="D38" s="38" t="str">
        <x:v>Подтвердить полный день</x:v>
      </x:c>
      <x:c r="E38" s="38" t="str">
        <x:v>CORE</x:v>
      </x:c>
      <x:c r="F38" s="38" t="str"/>
      <x:c r="G38" s="38" t="str"/>
      <x:c r="H38" s="38" t="str"/>
      <x:c r="I38" s="38" t="str">
        <x:v>NOT_RUN</x:v>
      </x:c>
      <x:c r="J38" s="38" t="str">
        <x:v>NOT_RUN</x:v>
      </x:c>
      <x:c r="K38" s="38" t="str"/>
      <x:c r="L38" s="38" t="str"/>
      <x:c r="M38" s="38" t="str">
        <x:v>NO</x:v>
      </x:c>
      <x:c r="N38" s="38" t="str"/>
      <x:c r="O38" s="41" t="str"/>
      <x:c r="P38" s="41" t="str"/>
      <x:c r="Q38" s="41" t="str"/>
      <x:c r="R38" s="41" t="str"/>
    </x:row>
    <x:row r="39" ht="15" hidden="0" customHeight="1">
      <x:c r="A39" s="38" t="str">
        <x:v>C05</x:v>
      </x:c>
      <x:c r="B39" s="38" t="str">
        <x:v>CONSUMER</x:v>
      </x:c>
      <x:c r="C39" s="38" t="str">
        <x:v>C06</x:v>
      </x:c>
      <x:c r="D39" s="38" t="str">
        <x:v>Прочитать приоритеты</x:v>
      </x:c>
      <x:c r="E39" s="38" t="str">
        <x:v>CRITICAL</x:v>
      </x:c>
      <x:c r="F39" s="38" t="str"/>
      <x:c r="G39" s="38" t="str"/>
      <x:c r="H39" s="38" t="str"/>
      <x:c r="I39" s="38" t="str">
        <x:v>NOT_RUN</x:v>
      </x:c>
      <x:c r="J39" s="38" t="str">
        <x:v>NOT_RUN</x:v>
      </x:c>
      <x:c r="K39" s="38" t="str"/>
      <x:c r="L39" s="38" t="str"/>
      <x:c r="M39" s="38" t="str">
        <x:v>NO</x:v>
      </x:c>
      <x:c r="N39" s="38" t="str"/>
      <x:c r="O39" s="41" t="str"/>
      <x:c r="P39" s="41" t="str"/>
      <x:c r="Q39" s="41" t="str"/>
      <x:c r="R39" s="41" t="str"/>
    </x:row>
    <x:row r="40" ht="15" hidden="0" customHeight="1">
      <x:c r="A40" s="38" t="str">
        <x:v>C05</x:v>
      </x:c>
      <x:c r="B40" s="38" t="str">
        <x:v>CONSUMER</x:v>
      </x:c>
      <x:c r="C40" s="38" t="str">
        <x:v>C07</x:v>
      </x:c>
      <x:c r="D40" s="38" t="str">
        <x:v>Различить аналитические слои</x:v>
      </x:c>
      <x:c r="E40" s="38" t="str">
        <x:v>CORE</x:v>
      </x:c>
      <x:c r="F40" s="38" t="str"/>
      <x:c r="G40" s="38" t="str"/>
      <x:c r="H40" s="38" t="str"/>
      <x:c r="I40" s="38" t="str">
        <x:v>NOT_RUN</x:v>
      </x:c>
      <x:c r="J40" s="38" t="str">
        <x:v>NOT_RUN</x:v>
      </x:c>
      <x:c r="K40" s="38" t="str"/>
      <x:c r="L40" s="38" t="str"/>
      <x:c r="M40" s="38" t="str">
        <x:v>NO</x:v>
      </x:c>
      <x:c r="N40" s="38" t="str"/>
      <x:c r="O40" s="41" t="str"/>
      <x:c r="P40" s="41" t="str"/>
      <x:c r="Q40" s="41" t="str"/>
      <x:c r="R40" s="41" t="str"/>
    </x:row>
    <x:row r="41" ht="15" hidden="0" customHeight="1">
      <x:c r="A41" s="38" t="str">
        <x:v>C05</x:v>
      </x:c>
      <x:c r="B41" s="38" t="str">
        <x:v>CONSUMER</x:v>
      </x:c>
      <x:c r="C41" s="38" t="str">
        <x:v>C08</x:v>
      </x:c>
      <x:c r="D41" s="38" t="str">
        <x:v>Сохранить и оценить доверие</x:v>
      </x:c>
      <x:c r="E41" s="38" t="str">
        <x:v>CRITICAL</x:v>
      </x:c>
      <x:c r="F41" s="38" t="str"/>
      <x:c r="G41" s="38" t="str"/>
      <x:c r="H41" s="38" t="str"/>
      <x:c r="I41" s="38" t="str">
        <x:v>NOT_RUN</x:v>
      </x:c>
      <x:c r="J41" s="38" t="str">
        <x:v>NOT_RUN</x:v>
      </x:c>
      <x:c r="K41" s="38" t="str"/>
      <x:c r="L41" s="38" t="str"/>
      <x:c r="M41" s="38" t="str">
        <x:v>NO</x:v>
      </x:c>
      <x:c r="N41" s="38" t="str"/>
      <x:c r="O41" s="41" t="str"/>
      <x:c r="P41" s="41" t="str"/>
      <x:c r="Q41" s="41" t="str"/>
      <x:c r="R41" s="41" t="str"/>
    </x:row>
    <x:row r="42" ht="15" hidden="0" customHeight="1">
      <x:c r="A42" s="38" t="str">
        <x:v>C06</x:v>
      </x:c>
      <x:c r="B42" s="38" t="str">
        <x:v>CONSUMER</x:v>
      </x:c>
      <x:c r="C42" s="38" t="str">
        <x:v>C01</x:v>
      </x:c>
      <x:c r="D42" s="38" t="str">
        <x:v>Понять назначение</x:v>
      </x:c>
      <x:c r="E42" s="38" t="str">
        <x:v>CRITICAL</x:v>
      </x:c>
      <x:c r="F42" s="38" t="str"/>
      <x:c r="G42" s="38" t="str"/>
      <x:c r="H42" s="38" t="str"/>
      <x:c r="I42" s="38" t="str">
        <x:v>NOT_RUN</x:v>
      </x:c>
      <x:c r="J42" s="38" t="str">
        <x:v>NOT_RUN</x:v>
      </x:c>
      <x:c r="K42" s="38" t="str"/>
      <x:c r="L42" s="38" t="str"/>
      <x:c r="M42" s="38" t="str">
        <x:v>NO</x:v>
      </x:c>
      <x:c r="N42" s="38" t="str"/>
      <x:c r="O42" s="41" t="str"/>
      <x:c r="P42" s="41" t="str"/>
      <x:c r="Q42" s="41" t="str"/>
      <x:c r="R42" s="41" t="str"/>
    </x:row>
    <x:row r="43" ht="15" hidden="0" customHeight="1">
      <x:c r="A43" s="38" t="str">
        <x:v>C06</x:v>
      </x:c>
      <x:c r="B43" s="38" t="str">
        <x:v>CONSUMER</x:v>
      </x:c>
      <x:c r="C43" s="38" t="str">
        <x:v>C02</x:v>
      </x:c>
      <x:c r="D43" s="38" t="str">
        <x:v>Рассчитать потребности</x:v>
      </x:c>
      <x:c r="E43" s="38" t="str">
        <x:v>CRITICAL</x:v>
      </x:c>
      <x:c r="F43" s="38" t="str"/>
      <x:c r="G43" s="38" t="str"/>
      <x:c r="H43" s="38" t="str"/>
      <x:c r="I43" s="38" t="str">
        <x:v>NOT_RUN</x:v>
      </x:c>
      <x:c r="J43" s="38" t="str">
        <x:v>NOT_RUN</x:v>
      </x:c>
      <x:c r="K43" s="38" t="str"/>
      <x:c r="L43" s="38" t="str"/>
      <x:c r="M43" s="38" t="str">
        <x:v>NO</x:v>
      </x:c>
      <x:c r="N43" s="38" t="str"/>
      <x:c r="O43" s="41" t="str"/>
      <x:c r="P43" s="41" t="str"/>
      <x:c r="Q43" s="41" t="str"/>
      <x:c r="R43" s="41" t="str"/>
    </x:row>
    <x:row r="44" ht="15" hidden="0" customHeight="1">
      <x:c r="A44" s="38" t="str">
        <x:v>C06</x:v>
      </x:c>
      <x:c r="B44" s="38" t="str">
        <x:v>CONSUMER</x:v>
      </x:c>
      <x:c r="C44" s="38" t="str">
        <x:v>C03</x:v>
      </x:c>
      <x:c r="D44" s="38" t="str">
        <x:v>Собрать фрагмент рациона</x:v>
      </x:c>
      <x:c r="E44" s="38" t="str">
        <x:v>CORE</x:v>
      </x:c>
      <x:c r="F44" s="38" t="str"/>
      <x:c r="G44" s="38" t="str"/>
      <x:c r="H44" s="38" t="str"/>
      <x:c r="I44" s="38" t="str">
        <x:v>NOT_RUN</x:v>
      </x:c>
      <x:c r="J44" s="38" t="str">
        <x:v>NOT_RUN</x:v>
      </x:c>
      <x:c r="K44" s="38" t="str"/>
      <x:c r="L44" s="38" t="str"/>
      <x:c r="M44" s="38" t="str">
        <x:v>NO</x:v>
      </x:c>
      <x:c r="N44" s="38" t="str"/>
      <x:c r="O44" s="41" t="str"/>
      <x:c r="P44" s="41" t="str"/>
      <x:c r="Q44" s="41" t="str"/>
      <x:c r="R44" s="41" t="str"/>
    </x:row>
    <x:row r="45" ht="15" hidden="0" customHeight="1">
      <x:c r="A45" s="38" t="str">
        <x:v>C06</x:v>
      </x:c>
      <x:c r="B45" s="38" t="str">
        <x:v>CONSUMER</x:v>
      </x:c>
      <x:c r="C45" s="38" t="str">
        <x:v>C04</x:v>
      </x:c>
      <x:c r="D45" s="38" t="str">
        <x:v>Распознать предварительный результат</x:v>
      </x:c>
      <x:c r="E45" s="38" t="str">
        <x:v>CRITICAL</x:v>
      </x:c>
      <x:c r="F45" s="38" t="str"/>
      <x:c r="G45" s="38" t="str"/>
      <x:c r="H45" s="38" t="str"/>
      <x:c r="I45" s="38" t="str">
        <x:v>NOT_RUN</x:v>
      </x:c>
      <x:c r="J45" s="38" t="str">
        <x:v>NOT_RUN</x:v>
      </x:c>
      <x:c r="K45" s="38" t="str"/>
      <x:c r="L45" s="38" t="str"/>
      <x:c r="M45" s="38" t="str">
        <x:v>NO</x:v>
      </x:c>
      <x:c r="N45" s="38" t="str"/>
      <x:c r="O45" s="41" t="str"/>
      <x:c r="P45" s="41" t="str"/>
      <x:c r="Q45" s="41" t="str"/>
      <x:c r="R45" s="41" t="str"/>
    </x:row>
    <x:row r="46" ht="15" hidden="0" customHeight="1">
      <x:c r="A46" s="38" t="str">
        <x:v>C06</x:v>
      </x:c>
      <x:c r="B46" s="38" t="str">
        <x:v>CONSUMER</x:v>
      </x:c>
      <x:c r="C46" s="38" t="str">
        <x:v>C05</x:v>
      </x:c>
      <x:c r="D46" s="38" t="str">
        <x:v>Подтвердить полный день</x:v>
      </x:c>
      <x:c r="E46" s="38" t="str">
        <x:v>CORE</x:v>
      </x:c>
      <x:c r="F46" s="38" t="str"/>
      <x:c r="G46" s="38" t="str"/>
      <x:c r="H46" s="38" t="str"/>
      <x:c r="I46" s="38" t="str">
        <x:v>NOT_RUN</x:v>
      </x:c>
      <x:c r="J46" s="38" t="str">
        <x:v>NOT_RUN</x:v>
      </x:c>
      <x:c r="K46" s="38" t="str"/>
      <x:c r="L46" s="38" t="str"/>
      <x:c r="M46" s="38" t="str">
        <x:v>NO</x:v>
      </x:c>
      <x:c r="N46" s="38" t="str"/>
      <x:c r="O46" s="41" t="str"/>
      <x:c r="P46" s="41" t="str"/>
      <x:c r="Q46" s="41" t="str"/>
      <x:c r="R46" s="41" t="str"/>
    </x:row>
    <x:row r="47" ht="15" hidden="0" customHeight="1">
      <x:c r="A47" s="38" t="str">
        <x:v>C06</x:v>
      </x:c>
      <x:c r="B47" s="38" t="str">
        <x:v>CONSUMER</x:v>
      </x:c>
      <x:c r="C47" s="38" t="str">
        <x:v>C06</x:v>
      </x:c>
      <x:c r="D47" s="38" t="str">
        <x:v>Прочитать приоритеты</x:v>
      </x:c>
      <x:c r="E47" s="38" t="str">
        <x:v>CRITICAL</x:v>
      </x:c>
      <x:c r="F47" s="38" t="str"/>
      <x:c r="G47" s="38" t="str"/>
      <x:c r="H47" s="38" t="str"/>
      <x:c r="I47" s="38" t="str">
        <x:v>NOT_RUN</x:v>
      </x:c>
      <x:c r="J47" s="38" t="str">
        <x:v>NOT_RUN</x:v>
      </x:c>
      <x:c r="K47" s="38" t="str"/>
      <x:c r="L47" s="38" t="str"/>
      <x:c r="M47" s="38" t="str">
        <x:v>NO</x:v>
      </x:c>
      <x:c r="N47" s="38" t="str"/>
      <x:c r="O47" s="41" t="str"/>
      <x:c r="P47" s="41" t="str"/>
      <x:c r="Q47" s="41" t="str"/>
      <x:c r="R47" s="41" t="str"/>
    </x:row>
    <x:row r="48" ht="15" hidden="0" customHeight="1">
      <x:c r="A48" s="38" t="str">
        <x:v>C06</x:v>
      </x:c>
      <x:c r="B48" s="38" t="str">
        <x:v>CONSUMER</x:v>
      </x:c>
      <x:c r="C48" s="38" t="str">
        <x:v>C07</x:v>
      </x:c>
      <x:c r="D48" s="38" t="str">
        <x:v>Различить аналитические слои</x:v>
      </x:c>
      <x:c r="E48" s="38" t="str">
        <x:v>CORE</x:v>
      </x:c>
      <x:c r="F48" s="38" t="str"/>
      <x:c r="G48" s="38" t="str"/>
      <x:c r="H48" s="38" t="str"/>
      <x:c r="I48" s="38" t="str">
        <x:v>NOT_RUN</x:v>
      </x:c>
      <x:c r="J48" s="38" t="str">
        <x:v>NOT_RUN</x:v>
      </x:c>
      <x:c r="K48" s="38" t="str"/>
      <x:c r="L48" s="38" t="str"/>
      <x:c r="M48" s="38" t="str">
        <x:v>NO</x:v>
      </x:c>
      <x:c r="N48" s="38" t="str"/>
      <x:c r="O48" s="41" t="str"/>
      <x:c r="P48" s="41" t="str"/>
      <x:c r="Q48" s="41" t="str"/>
      <x:c r="R48" s="41" t="str"/>
    </x:row>
    <x:row r="49" ht="15" hidden="0" customHeight="1">
      <x:c r="A49" s="38" t="str">
        <x:v>C06</x:v>
      </x:c>
      <x:c r="B49" s="38" t="str">
        <x:v>CONSUMER</x:v>
      </x:c>
      <x:c r="C49" s="38" t="str">
        <x:v>C08</x:v>
      </x:c>
      <x:c r="D49" s="38" t="str">
        <x:v>Сохранить и оценить доверие</x:v>
      </x:c>
      <x:c r="E49" s="38" t="str">
        <x:v>CRITICAL</x:v>
      </x:c>
      <x:c r="F49" s="38" t="str"/>
      <x:c r="G49" s="38" t="str"/>
      <x:c r="H49" s="38" t="str"/>
      <x:c r="I49" s="38" t="str">
        <x:v>NOT_RUN</x:v>
      </x:c>
      <x:c r="J49" s="38" t="str">
        <x:v>NOT_RUN</x:v>
      </x:c>
      <x:c r="K49" s="38" t="str"/>
      <x:c r="L49" s="38" t="str"/>
      <x:c r="M49" s="38" t="str">
        <x:v>NO</x:v>
      </x:c>
      <x:c r="N49" s="38" t="str"/>
      <x:c r="O49" s="41" t="str"/>
      <x:c r="P49" s="41" t="str"/>
      <x:c r="Q49" s="41" t="str"/>
      <x:c r="R49" s="41" t="str"/>
    </x:row>
    <x:row r="50" ht="15" hidden="0" customHeight="1">
      <x:c r="A50" s="38" t="str">
        <x:v>P01</x:v>
      </x:c>
      <x:c r="B50" s="38" t="str">
        <x:v>PROFESSIONAL</x:v>
      </x:c>
      <x:c r="C50" s="38" t="str">
        <x:v>P01</x:v>
      </x:c>
      <x:c r="D50" s="38" t="str">
        <x:v>Проверить границы назначения</x:v>
      </x:c>
      <x:c r="E50" s="38" t="str">
        <x:v>CRITICAL</x:v>
      </x:c>
      <x:c r="F50" s="38" t="str"/>
      <x:c r="G50" s="38" t="str"/>
      <x:c r="H50" s="38" t="str"/>
      <x:c r="I50" s="38" t="str">
        <x:v>NOT_RUN</x:v>
      </x:c>
      <x:c r="J50" s="38" t="str">
        <x:v>NOT_RUN</x:v>
      </x:c>
      <x:c r="K50" s="38" t="str"/>
      <x:c r="L50" s="38" t="str"/>
      <x:c r="M50" s="38" t="str">
        <x:v>NO</x:v>
      </x:c>
      <x:c r="N50" s="38" t="str"/>
      <x:c r="O50" s="41" t="str"/>
      <x:c r="P50" s="41" t="str"/>
      <x:c r="Q50" s="41" t="str"/>
      <x:c r="R50" s="41" t="str"/>
    </x:row>
    <x:row r="51" ht="15" hidden="0" customHeight="1">
      <x:c r="A51" s="38" t="str">
        <x:v>P01</x:v>
      </x:c>
      <x:c r="B51" s="38" t="str">
        <x:v>PROFESSIONAL</x:v>
      </x:c>
      <x:c r="C51" s="38" t="str">
        <x:v>P02</x:v>
      </x:c>
      <x:c r="D51" s="38" t="str">
        <x:v>Оценить доказательность</x:v>
      </x:c>
      <x:c r="E51" s="38" t="str">
        <x:v>CRITICAL</x:v>
      </x:c>
      <x:c r="F51" s="38" t="str"/>
      <x:c r="G51" s="38" t="str"/>
      <x:c r="H51" s="38" t="str"/>
      <x:c r="I51" s="38" t="str">
        <x:v>NOT_RUN</x:v>
      </x:c>
      <x:c r="J51" s="38" t="str">
        <x:v>NOT_RUN</x:v>
      </x:c>
      <x:c r="K51" s="38" t="str"/>
      <x:c r="L51" s="38" t="str"/>
      <x:c r="M51" s="38" t="str">
        <x:v>NO</x:v>
      </x:c>
      <x:c r="N51" s="38" t="str"/>
      <x:c r="O51" s="41" t="str"/>
      <x:c r="P51" s="41" t="str"/>
      <x:c r="Q51" s="41" t="str"/>
      <x:c r="R51" s="41" t="str"/>
    </x:row>
    <x:row r="52" ht="15" hidden="0" customHeight="1">
      <x:c r="A52" s="38" t="str">
        <x:v>P01</x:v>
      </x:c>
      <x:c r="B52" s="38" t="str">
        <x:v>PROFESSIONAL</x:v>
      </x:c>
      <x:c r="C52" s="38" t="str">
        <x:v>P03</x:v>
      </x:c>
      <x:c r="D52" s="38" t="str">
        <x:v>Оценить рекомендации</x:v>
      </x:c>
      <x:c r="E52" s="38" t="str">
        <x:v>CORE</x:v>
      </x:c>
      <x:c r="F52" s="38" t="str"/>
      <x:c r="G52" s="38" t="str"/>
      <x:c r="H52" s="38" t="str"/>
      <x:c r="I52" s="38" t="str">
        <x:v>NOT_RUN</x:v>
      </x:c>
      <x:c r="J52" s="38" t="str">
        <x:v>NOT_RUN</x:v>
      </x:c>
      <x:c r="K52" s="38" t="str"/>
      <x:c r="L52" s="38" t="str"/>
      <x:c r="M52" s="38" t="str">
        <x:v>NO</x:v>
      </x:c>
      <x:c r="N52" s="38" t="str"/>
      <x:c r="O52" s="41" t="str"/>
      <x:c r="P52" s="41" t="str"/>
      <x:c r="Q52" s="41" t="str"/>
      <x:c r="R52" s="41" t="str"/>
    </x:row>
    <x:row r="53" ht="15" hidden="0" customHeight="1">
      <x:c r="A53" s="38" t="str">
        <x:v>P01</x:v>
      </x:c>
      <x:c r="B53" s="38" t="str">
        <x:v>PROFESSIONAL</x:v>
      </x:c>
      <x:c r="C53" s="38" t="str">
        <x:v>P04</x:v>
      </x:c>
      <x:c r="D53" s="38" t="str">
        <x:v>Проверить риск неверной интерпретации</x:v>
      </x:c>
      <x:c r="E53" s="38" t="str">
        <x:v>CORE</x:v>
      </x:c>
      <x:c r="F53" s="38" t="str"/>
      <x:c r="G53" s="38" t="str"/>
      <x:c r="H53" s="38" t="str"/>
      <x:c r="I53" s="38" t="str">
        <x:v>NOT_RUN</x:v>
      </x:c>
      <x:c r="J53" s="38" t="str">
        <x:v>NOT_RUN</x:v>
      </x:c>
      <x:c r="K53" s="38" t="str"/>
      <x:c r="L53" s="38" t="str"/>
      <x:c r="M53" s="38" t="str">
        <x:v>NO</x:v>
      </x:c>
      <x:c r="N53" s="38" t="str"/>
      <x:c r="O53" s="41" t="str"/>
      <x:c r="P53" s="41" t="str"/>
      <x:c r="Q53" s="41" t="str"/>
      <x:c r="R53" s="41" t="str"/>
    </x:row>
    <x:row r="54" ht="15" hidden="0" customHeight="1">
      <x:c r="A54" s="38" t="str">
        <x:v>P02</x:v>
      </x:c>
      <x:c r="B54" s="38" t="str">
        <x:v>PROFESSIONAL</x:v>
      </x:c>
      <x:c r="C54" s="38" t="str">
        <x:v>P01</x:v>
      </x:c>
      <x:c r="D54" s="38" t="str">
        <x:v>Проверить границы назначения</x:v>
      </x:c>
      <x:c r="E54" s="38" t="str">
        <x:v>CRITICAL</x:v>
      </x:c>
      <x:c r="F54" s="38" t="str"/>
      <x:c r="G54" s="38" t="str"/>
      <x:c r="H54" s="38" t="str"/>
      <x:c r="I54" s="38" t="str">
        <x:v>NOT_RUN</x:v>
      </x:c>
      <x:c r="J54" s="38" t="str">
        <x:v>NOT_RUN</x:v>
      </x:c>
      <x:c r="K54" s="38" t="str"/>
      <x:c r="L54" s="38" t="str"/>
      <x:c r="M54" s="38" t="str">
        <x:v>NO</x:v>
      </x:c>
      <x:c r="N54" s="38" t="str"/>
      <x:c r="O54" s="41" t="str"/>
      <x:c r="P54" s="41" t="str"/>
      <x:c r="Q54" s="41" t="str"/>
      <x:c r="R54" s="41" t="str"/>
    </x:row>
    <x:row r="55" ht="15" hidden="0" customHeight="1">
      <x:c r="A55" s="38" t="str">
        <x:v>P02</x:v>
      </x:c>
      <x:c r="B55" s="38" t="str">
        <x:v>PROFESSIONAL</x:v>
      </x:c>
      <x:c r="C55" s="38" t="str">
        <x:v>P02</x:v>
      </x:c>
      <x:c r="D55" s="38" t="str">
        <x:v>Оценить доказательность</x:v>
      </x:c>
      <x:c r="E55" s="38" t="str">
        <x:v>CRITICAL</x:v>
      </x:c>
      <x:c r="F55" s="38" t="str"/>
      <x:c r="G55" s="38" t="str"/>
      <x:c r="H55" s="38" t="str"/>
      <x:c r="I55" s="38" t="str">
        <x:v>NOT_RUN</x:v>
      </x:c>
      <x:c r="J55" s="38" t="str">
        <x:v>NOT_RUN</x:v>
      </x:c>
      <x:c r="K55" s="38" t="str"/>
      <x:c r="L55" s="38" t="str"/>
      <x:c r="M55" s="38" t="str">
        <x:v>NO</x:v>
      </x:c>
      <x:c r="N55" s="38" t="str"/>
      <x:c r="O55" s="41" t="str"/>
      <x:c r="P55" s="41" t="str"/>
      <x:c r="Q55" s="41" t="str"/>
      <x:c r="R55" s="41" t="str"/>
    </x:row>
    <x:row r="56" ht="15" hidden="0" customHeight="1">
      <x:c r="A56" s="38" t="str">
        <x:v>P02</x:v>
      </x:c>
      <x:c r="B56" s="38" t="str">
        <x:v>PROFESSIONAL</x:v>
      </x:c>
      <x:c r="C56" s="38" t="str">
        <x:v>P03</x:v>
      </x:c>
      <x:c r="D56" s="38" t="str">
        <x:v>Оценить рекомендации</x:v>
      </x:c>
      <x:c r="E56" s="38" t="str">
        <x:v>CORE</x:v>
      </x:c>
      <x:c r="F56" s="38" t="str"/>
      <x:c r="G56" s="38" t="str"/>
      <x:c r="H56" s="38" t="str"/>
      <x:c r="I56" s="38" t="str">
        <x:v>NOT_RUN</x:v>
      </x:c>
      <x:c r="J56" s="38" t="str">
        <x:v>NOT_RUN</x:v>
      </x:c>
      <x:c r="K56" s="38" t="str"/>
      <x:c r="L56" s="38" t="str"/>
      <x:c r="M56" s="38" t="str">
        <x:v>NO</x:v>
      </x:c>
      <x:c r="N56" s="38" t="str"/>
      <x:c r="O56" s="41" t="str"/>
      <x:c r="P56" s="41" t="str"/>
      <x:c r="Q56" s="41" t="str"/>
      <x:c r="R56" s="41" t="str"/>
    </x:row>
    <x:row r="57" ht="15" hidden="0" customHeight="1">
      <x:c r="A57" s="38" t="str">
        <x:v>P02</x:v>
      </x:c>
      <x:c r="B57" s="38" t="str">
        <x:v>PROFESSIONAL</x:v>
      </x:c>
      <x:c r="C57" s="38" t="str">
        <x:v>P04</x:v>
      </x:c>
      <x:c r="D57" s="38" t="str">
        <x:v>Проверить риск неверной интерпретации</x:v>
      </x:c>
      <x:c r="E57" s="38" t="str">
        <x:v>CORE</x:v>
      </x:c>
      <x:c r="F57" s="38" t="str"/>
      <x:c r="G57" s="38" t="str"/>
      <x:c r="H57" s="38" t="str"/>
      <x:c r="I57" s="38" t="str">
        <x:v>NOT_RUN</x:v>
      </x:c>
      <x:c r="J57" s="38" t="str">
        <x:v>NOT_RUN</x:v>
      </x:c>
      <x:c r="K57" s="38" t="str"/>
      <x:c r="L57" s="38" t="str"/>
      <x:c r="M57" s="38" t="str">
        <x:v>NO</x:v>
      </x:c>
      <x:c r="N57" s="38" t="str"/>
      <x:c r="O57" s="41" t="str"/>
      <x:c r="P57" s="41" t="str"/>
      <x:c r="Q57" s="41" t="str"/>
      <x:c r="R57" s="41" t="str"/>
    </x:row>
  </x:sheetData>
  <x:conditionalFormatting sqref="M2:M57">
    <x:cfRule type="expression" dxfId="3" priority="1">
      <x:formula>M2="YES"</x:formula>
    </x:cfRule>
  </x:conditionalFormatting>
  <x:dataValidations count="3">
    <x:dataValidation type="list" sqref="I2:J57">
      <x:formula1>"NOT_RUN,YES,NO"</x:formula1>
    </x:dataValidation>
    <x:dataValidation type="list" sqref="M2:M57">
      <x:formula1>"NO,YES"</x:formula1>
    </x:dataValidation>
    <x:dataValidation operator="between" sqref="N2:N57">
      <x:formula1>1</x:formula1>
      <x:formula2>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771be0385c4e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15" hidden="0" customHeight="1">
      <x:c r="A1" s="37" t="str">
        <x:v>issue_id</x:v>
      </x:c>
      <x:c r="B1" s="37" t="str">
        <x:v>date</x:v>
      </x:c>
      <x:c r="C1" s="37" t="str">
        <x:v>participant_id</x:v>
      </x:c>
      <x:c r="D1" s="37" t="str">
        <x:v>track</x:v>
      </x:c>
      <x:c r="E1" s="37" t="str">
        <x:v>task_id</x:v>
      </x:c>
      <x:c r="F1" s="37" t="str">
        <x:v>severity</x:v>
      </x:c>
      <x:c r="G1" s="37" t="str">
        <x:v>category</x:v>
      </x:c>
      <x:c r="H1" s="37" t="str">
        <x:v>title</x:v>
      </x:c>
      <x:c r="I1" s="37" t="str">
        <x:v>description</x:v>
      </x:c>
      <x:c r="J1" s="37" t="str">
        <x:v>evidence</x:v>
      </x:c>
      <x:c r="K1" s="37" t="str">
        <x:v>repro_steps</x:v>
      </x:c>
      <x:c r="L1" s="37" t="str">
        <x:v>frequency</x:v>
      </x:c>
      <x:c r="M1" s="37" t="str">
        <x:v>safety_risk</x:v>
      </x:c>
      <x:c r="N1" s="37" t="str">
        <x:v>workaround</x:v>
      </x:c>
      <x:c r="O1" s="37" t="str">
        <x:v>owner</x:v>
      </x:c>
      <x:c r="P1" s="37" t="str">
        <x:v>status</x:v>
      </x:c>
      <x:c r="Q1" s="37" t="str">
        <x:v>decision</x:v>
      </x:c>
      <x:c r="R1" s="37" t="str">
        <x:v>target_release</x:v>
      </x:c>
    </x:row>
    <x:row r="2" ht="15" hidden="0" customHeight="1">
      <x:c r="A2" s="38" t="str"/>
      <x:c r="B2" s="38" t="str"/>
      <x:c r="C2" s="38" t="str"/>
      <x:c r="D2" s="38" t="str"/>
      <x:c r="E2" s="38" t="str"/>
      <x:c r="F2" s="38" t="str"/>
      <x:c r="G2" s="38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</x:row>
    <x:row r="3" ht="15" hidden="0" customHeight="1">
      <x:c r="A3" s="38" t="str"/>
      <x:c r="B3" s="38" t="str"/>
      <x:c r="C3" s="38" t="str"/>
      <x:c r="D3" s="38" t="str"/>
      <x:c r="E3" s="38" t="str"/>
      <x:c r="F3" s="38" t="str"/>
      <x:c r="G3" s="38" t="str"/>
      <x:c r="H3" s="41" t="str"/>
      <x:c r="I3" s="41" t="str"/>
      <x:c r="J3" s="41" t="str"/>
      <x:c r="K3" s="41" t="str"/>
      <x:c r="L3" s="41" t="str"/>
      <x:c r="M3" s="41" t="str"/>
      <x:c r="N3" s="41" t="str"/>
      <x:c r="O3" s="41" t="str"/>
      <x:c r="P3" s="41" t="str"/>
      <x:c r="Q3" s="41" t="str"/>
      <x:c r="R3" s="41" t="str"/>
    </x:row>
    <x:row r="4" ht="15" hidden="0" customHeight="1">
      <x:c r="A4" s="38" t="str"/>
      <x:c r="B4" s="38" t="str"/>
      <x:c r="C4" s="38" t="str"/>
      <x:c r="D4" s="38" t="str"/>
      <x:c r="E4" s="38" t="str"/>
      <x:c r="F4" s="38" t="str"/>
      <x:c r="G4" s="38" t="str"/>
      <x:c r="H4" s="41" t="str"/>
      <x:c r="I4" s="41" t="str"/>
      <x:c r="J4" s="41" t="str"/>
      <x:c r="K4" s="41" t="str"/>
      <x:c r="L4" s="41" t="str"/>
      <x:c r="M4" s="41" t="str"/>
      <x:c r="N4" s="41" t="str"/>
      <x:c r="O4" s="41" t="str"/>
      <x:c r="P4" s="41" t="str"/>
      <x:c r="Q4" s="41" t="str"/>
      <x:c r="R4" s="41" t="str"/>
    </x:row>
    <x:row r="5" ht="15" hidden="0" customHeight="1">
      <x:c r="A5" s="38" t="str"/>
      <x:c r="B5" s="38" t="str"/>
      <x:c r="C5" s="38" t="str"/>
      <x:c r="D5" s="38" t="str"/>
      <x:c r="E5" s="38" t="str"/>
      <x:c r="F5" s="38" t="str"/>
      <x:c r="G5" s="38" t="str"/>
      <x:c r="H5" s="41" t="str"/>
      <x:c r="I5" s="41" t="str"/>
      <x:c r="J5" s="41" t="str"/>
      <x:c r="K5" s="41" t="str"/>
      <x:c r="L5" s="41" t="str"/>
      <x:c r="M5" s="41" t="str"/>
      <x:c r="N5" s="41" t="str"/>
      <x:c r="O5" s="41" t="str"/>
      <x:c r="P5" s="41" t="str"/>
      <x:c r="Q5" s="41" t="str"/>
      <x:c r="R5" s="41" t="str"/>
    </x:row>
    <x:row r="6" ht="15" hidden="0" customHeight="1">
      <x:c r="A6" s="38" t="str"/>
      <x:c r="B6" s="38" t="str"/>
      <x:c r="C6" s="38" t="str"/>
      <x:c r="D6" s="38" t="str"/>
      <x:c r="E6" s="38" t="str"/>
      <x:c r="F6" s="38" t="str"/>
      <x:c r="G6" s="38" t="str"/>
      <x:c r="H6" s="41" t="str"/>
      <x:c r="I6" s="41" t="str"/>
      <x:c r="J6" s="41" t="str"/>
      <x:c r="K6" s="41" t="str"/>
      <x:c r="L6" s="41" t="str"/>
      <x:c r="M6" s="41" t="str"/>
      <x:c r="N6" s="41" t="str"/>
      <x:c r="O6" s="41" t="str"/>
      <x:c r="P6" s="41" t="str"/>
      <x:c r="Q6" s="41" t="str"/>
      <x:c r="R6" s="41" t="str"/>
    </x:row>
    <x:row r="7" ht="15" hidden="0" customHeight="1">
      <x:c r="A7" s="38" t="str"/>
      <x:c r="B7" s="38" t="str"/>
      <x:c r="C7" s="38" t="str"/>
      <x:c r="D7" s="38" t="str"/>
      <x:c r="E7" s="38" t="str"/>
      <x:c r="F7" s="38" t="str"/>
      <x:c r="G7" s="38" t="str"/>
      <x:c r="H7" s="41" t="str"/>
      <x:c r="I7" s="41" t="str"/>
      <x:c r="J7" s="41" t="str"/>
      <x:c r="K7" s="41" t="str"/>
      <x:c r="L7" s="41" t="str"/>
      <x:c r="M7" s="41" t="str"/>
      <x:c r="N7" s="41" t="str"/>
      <x:c r="O7" s="41" t="str"/>
      <x:c r="P7" s="41" t="str"/>
      <x:c r="Q7" s="41" t="str"/>
      <x:c r="R7" s="41" t="str"/>
    </x:row>
    <x:row r="8" ht="15" hidden="0" customHeight="1">
      <x:c r="A8" s="38" t="str"/>
      <x:c r="B8" s="38" t="str"/>
      <x:c r="C8" s="38" t="str"/>
      <x:c r="D8" s="38" t="str"/>
      <x:c r="E8" s="38" t="str"/>
      <x:c r="F8" s="38" t="str"/>
      <x:c r="G8" s="38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/>
      <x:c r="R8" s="41" t="str"/>
    </x:row>
    <x:row r="9" ht="15" hidden="0" customHeight="1">
      <x:c r="A9" s="38" t="str"/>
      <x:c r="B9" s="38" t="str"/>
      <x:c r="C9" s="38" t="str"/>
      <x:c r="D9" s="38" t="str"/>
      <x:c r="E9" s="38" t="str"/>
      <x:c r="F9" s="38" t="str"/>
      <x:c r="G9" s="38" t="str"/>
      <x:c r="H9" s="41" t="str"/>
      <x:c r="I9" s="41" t="str"/>
      <x:c r="J9" s="41" t="str"/>
      <x:c r="K9" s="41" t="str"/>
      <x:c r="L9" s="41" t="str"/>
      <x:c r="M9" s="41" t="str"/>
      <x:c r="N9" s="41" t="str"/>
      <x:c r="O9" s="41" t="str"/>
      <x:c r="P9" s="41" t="str"/>
      <x:c r="Q9" s="41" t="str"/>
      <x:c r="R9" s="41" t="str"/>
    </x:row>
    <x:row r="10" ht="15" hidden="0" customHeight="1">
      <x:c r="A10" s="38" t="str"/>
      <x:c r="B10" s="38" t="str"/>
      <x:c r="C10" s="38" t="str"/>
      <x:c r="D10" s="38" t="str"/>
      <x:c r="E10" s="38" t="str"/>
      <x:c r="F10" s="38" t="str"/>
      <x:c r="G10" s="38" t="str"/>
      <x:c r="H10" s="41" t="str"/>
      <x:c r="I10" s="41" t="str"/>
      <x:c r="J10" s="41" t="str"/>
      <x:c r="K10" s="41" t="str"/>
      <x:c r="L10" s="41" t="str"/>
      <x:c r="M10" s="41" t="str"/>
      <x:c r="N10" s="41" t="str"/>
      <x:c r="O10" s="41" t="str"/>
      <x:c r="P10" s="41" t="str"/>
      <x:c r="Q10" s="41" t="str"/>
      <x:c r="R10" s="41" t="str"/>
    </x:row>
    <x:row r="11" ht="15" hidden="0" customHeight="1">
      <x:c r="A11" s="38" t="str"/>
      <x:c r="B11" s="38" t="str"/>
      <x:c r="C11" s="38" t="str"/>
      <x:c r="D11" s="38" t="str"/>
      <x:c r="E11" s="38" t="str"/>
      <x:c r="F11" s="38" t="str"/>
      <x:c r="G11" s="38" t="str"/>
      <x:c r="H11" s="41" t="str"/>
      <x:c r="I11" s="41" t="str"/>
      <x:c r="J11" s="41" t="str"/>
      <x:c r="K11" s="41" t="str"/>
      <x:c r="L11" s="41" t="str"/>
      <x:c r="M11" s="41" t="str"/>
      <x:c r="N11" s="41" t="str"/>
      <x:c r="O11" s="41" t="str"/>
      <x:c r="P11" s="41" t="str"/>
      <x:c r="Q11" s="41" t="str"/>
      <x:c r="R11" s="41" t="str"/>
    </x:row>
    <x:row r="12" ht="15" hidden="0" customHeight="1">
      <x:c r="A12" s="38" t="str"/>
      <x:c r="B12" s="38" t="str"/>
      <x:c r="C12" s="38" t="str"/>
      <x:c r="D12" s="38" t="str"/>
      <x:c r="E12" s="38" t="str"/>
      <x:c r="F12" s="38" t="str"/>
      <x:c r="G12" s="38" t="str"/>
      <x:c r="H12" s="41" t="str"/>
      <x:c r="I12" s="41" t="str"/>
      <x:c r="J12" s="41" t="str"/>
      <x:c r="K12" s="41" t="str"/>
      <x:c r="L12" s="41" t="str"/>
      <x:c r="M12" s="41" t="str"/>
      <x:c r="N12" s="41" t="str"/>
      <x:c r="O12" s="41" t="str"/>
      <x:c r="P12" s="41" t="str"/>
      <x:c r="Q12" s="41" t="str"/>
      <x:c r="R12" s="41" t="str"/>
    </x:row>
    <x:row r="13" ht="15" hidden="0" customHeight="1">
      <x:c r="A13" s="38" t="str"/>
      <x:c r="B13" s="38" t="str"/>
      <x:c r="C13" s="38" t="str"/>
      <x:c r="D13" s="38" t="str"/>
      <x:c r="E13" s="38" t="str"/>
      <x:c r="F13" s="38" t="str"/>
      <x:c r="G13" s="38" t="str"/>
      <x:c r="H13" s="41" t="str"/>
      <x:c r="I13" s="41" t="str"/>
      <x:c r="J13" s="41" t="str"/>
      <x:c r="K13" s="41" t="str"/>
      <x:c r="L13" s="41" t="str"/>
      <x:c r="M13" s="41" t="str"/>
      <x:c r="N13" s="41" t="str"/>
      <x:c r="O13" s="41" t="str"/>
      <x:c r="P13" s="41" t="str"/>
      <x:c r="Q13" s="41" t="str"/>
      <x:c r="R13" s="41" t="str"/>
    </x:row>
    <x:row r="14" ht="15" hidden="0" customHeight="1">
      <x:c r="A14" s="38" t="str"/>
      <x:c r="B14" s="38" t="str"/>
      <x:c r="C14" s="38" t="str"/>
      <x:c r="D14" s="38" t="str"/>
      <x:c r="E14" s="38" t="str"/>
      <x:c r="F14" s="38" t="str"/>
      <x:c r="G14" s="38" t="str"/>
      <x:c r="H14" s="41" t="str"/>
      <x:c r="I14" s="41" t="str"/>
      <x:c r="J14" s="41" t="str"/>
      <x:c r="K14" s="41" t="str"/>
      <x:c r="L14" s="41" t="str"/>
      <x:c r="M14" s="41" t="str"/>
      <x:c r="N14" s="41" t="str"/>
      <x:c r="O14" s="41" t="str"/>
      <x:c r="P14" s="41" t="str"/>
      <x:c r="Q14" s="41" t="str"/>
      <x:c r="R14" s="41" t="str"/>
    </x:row>
    <x:row r="15" ht="15" hidden="0" customHeight="1">
      <x:c r="A15" s="38" t="str"/>
      <x:c r="B15" s="38" t="str"/>
      <x:c r="C15" s="38" t="str"/>
      <x:c r="D15" s="38" t="str"/>
      <x:c r="E15" s="38" t="str"/>
      <x:c r="F15" s="38" t="str"/>
      <x:c r="G15" s="38" t="str"/>
      <x:c r="H15" s="41" t="str"/>
      <x:c r="I15" s="41" t="str"/>
      <x:c r="J15" s="41" t="str"/>
      <x:c r="K15" s="41" t="str"/>
      <x:c r="L15" s="41" t="str"/>
      <x:c r="M15" s="41" t="str"/>
      <x:c r="N15" s="41" t="str"/>
      <x:c r="O15" s="41" t="str"/>
      <x:c r="P15" s="41" t="str"/>
      <x:c r="Q15" s="41" t="str"/>
      <x:c r="R15" s="41" t="str"/>
    </x:row>
    <x:row r="16" ht="15" hidden="0" customHeight="1">
      <x:c r="A16" s="38" t="str"/>
      <x:c r="B16" s="38" t="str"/>
      <x:c r="C16" s="38" t="str"/>
      <x:c r="D16" s="38" t="str"/>
      <x:c r="E16" s="38" t="str"/>
      <x:c r="F16" s="38" t="str"/>
      <x:c r="G16" s="38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1" t="str"/>
      <x:c r="P16" s="41" t="str"/>
      <x:c r="Q16" s="41" t="str"/>
      <x:c r="R16" s="41" t="str"/>
    </x:row>
    <x:row r="17" ht="15" hidden="0" customHeight="1">
      <x:c r="A17" s="38" t="str"/>
      <x:c r="B17" s="38" t="str"/>
      <x:c r="C17" s="38" t="str"/>
      <x:c r="D17" s="38" t="str"/>
      <x:c r="E17" s="38" t="str"/>
      <x:c r="F17" s="38" t="str"/>
      <x:c r="G17" s="38" t="str"/>
      <x:c r="H17" s="41" t="str"/>
      <x:c r="I17" s="41" t="str"/>
      <x:c r="J17" s="41" t="str"/>
      <x:c r="K17" s="41" t="str"/>
      <x:c r="L17" s="41" t="str"/>
      <x:c r="M17" s="41" t="str"/>
      <x:c r="N17" s="41" t="str"/>
      <x:c r="O17" s="41" t="str"/>
      <x:c r="P17" s="41" t="str"/>
      <x:c r="Q17" s="41" t="str"/>
      <x:c r="R17" s="41" t="str"/>
    </x:row>
    <x:row r="18" ht="15" hidden="0" customHeight="1">
      <x:c r="A18" s="38" t="str"/>
      <x:c r="B18" s="38" t="str"/>
      <x:c r="C18" s="38" t="str"/>
      <x:c r="D18" s="38" t="str"/>
      <x:c r="E18" s="38" t="str"/>
      <x:c r="F18" s="38" t="str"/>
      <x:c r="G18" s="38" t="str"/>
      <x:c r="H18" s="41" t="str"/>
      <x:c r="I18" s="41" t="str"/>
      <x:c r="J18" s="41" t="str"/>
      <x:c r="K18" s="41" t="str"/>
      <x:c r="L18" s="41" t="str"/>
      <x:c r="M18" s="41" t="str"/>
      <x:c r="N18" s="41" t="str"/>
      <x:c r="O18" s="41" t="str"/>
      <x:c r="P18" s="41" t="str"/>
      <x:c r="Q18" s="41" t="str"/>
      <x:c r="R18" s="41" t="str"/>
    </x:row>
    <x:row r="19" ht="15" hidden="0" customHeight="1">
      <x:c r="A19" s="38" t="str"/>
      <x:c r="B19" s="38" t="str"/>
      <x:c r="C19" s="38" t="str"/>
      <x:c r="D19" s="38" t="str"/>
      <x:c r="E19" s="38" t="str"/>
      <x:c r="F19" s="38" t="str"/>
      <x:c r="G19" s="38" t="str"/>
      <x:c r="H19" s="41" t="str"/>
      <x:c r="I19" s="41" t="str"/>
      <x:c r="J19" s="41" t="str"/>
      <x:c r="K19" s="41" t="str"/>
      <x:c r="L19" s="41" t="str"/>
      <x:c r="M19" s="41" t="str"/>
      <x:c r="N19" s="41" t="str"/>
      <x:c r="O19" s="41" t="str"/>
      <x:c r="P19" s="41" t="str"/>
      <x:c r="Q19" s="41" t="str"/>
      <x:c r="R19" s="41" t="str"/>
    </x:row>
    <x:row r="20" ht="15" hidden="0" customHeight="1">
      <x:c r="A20" s="38" t="str"/>
      <x:c r="B20" s="38" t="str"/>
      <x:c r="C20" s="38" t="str"/>
      <x:c r="D20" s="38" t="str"/>
      <x:c r="E20" s="38" t="str"/>
      <x:c r="F20" s="38" t="str"/>
      <x:c r="G20" s="38" t="str"/>
      <x:c r="H20" s="41" t="str"/>
      <x:c r="I20" s="41" t="str"/>
      <x:c r="J20" s="41" t="str"/>
      <x:c r="K20" s="41" t="str"/>
      <x:c r="L20" s="41" t="str"/>
      <x:c r="M20" s="41" t="str"/>
      <x:c r="N20" s="41" t="str"/>
      <x:c r="O20" s="41" t="str"/>
      <x:c r="P20" s="41" t="str"/>
      <x:c r="Q20" s="41" t="str"/>
      <x:c r="R20" s="41" t="str"/>
    </x:row>
    <x:row r="21" ht="15" hidden="0" customHeight="1">
      <x:c r="A21" s="38" t="str"/>
      <x:c r="B21" s="38" t="str"/>
      <x:c r="C21" s="38" t="str"/>
      <x:c r="D21" s="38" t="str"/>
      <x:c r="E21" s="38" t="str"/>
      <x:c r="F21" s="38" t="str"/>
      <x:c r="G21" s="38" t="str"/>
      <x:c r="H21" s="41" t="str"/>
      <x:c r="I21" s="41" t="str"/>
      <x:c r="J21" s="41" t="str"/>
      <x:c r="K21" s="41" t="str"/>
      <x:c r="L21" s="41" t="str"/>
      <x:c r="M21" s="41" t="str"/>
      <x:c r="N21" s="41" t="str"/>
      <x:c r="O21" s="41" t="str"/>
      <x:c r="P21" s="41" t="str"/>
      <x:c r="Q21" s="41" t="str"/>
      <x:c r="R21" s="41" t="str"/>
    </x:row>
    <x:row r="22" ht="15" hidden="0" customHeight="1">
      <x:c r="A22" s="38" t="str"/>
      <x:c r="B22" s="38" t="str"/>
      <x:c r="C22" s="38" t="str"/>
      <x:c r="D22" s="38" t="str"/>
      <x:c r="E22" s="38" t="str"/>
      <x:c r="F22" s="38" t="str"/>
      <x:c r="G22" s="38" t="str"/>
      <x:c r="H22" s="41" t="str"/>
      <x:c r="I22" s="41" t="str"/>
      <x:c r="J22" s="41" t="str"/>
      <x:c r="K22" s="41" t="str"/>
      <x:c r="L22" s="41" t="str"/>
      <x:c r="M22" s="41" t="str"/>
      <x:c r="N22" s="41" t="str"/>
      <x:c r="O22" s="41" t="str"/>
      <x:c r="P22" s="41" t="str"/>
      <x:c r="Q22" s="41" t="str"/>
      <x:c r="R22" s="41" t="str"/>
    </x:row>
    <x:row r="23" ht="15" hidden="0" customHeight="1">
      <x:c r="A23" s="38" t="str"/>
      <x:c r="B23" s="38" t="str"/>
      <x:c r="C23" s="38" t="str"/>
      <x:c r="D23" s="38" t="str"/>
      <x:c r="E23" s="38" t="str"/>
      <x:c r="F23" s="38" t="str"/>
      <x:c r="G23" s="38" t="str"/>
      <x:c r="H23" s="41" t="str"/>
      <x:c r="I23" s="41" t="str"/>
      <x:c r="J23" s="41" t="str"/>
      <x:c r="K23" s="41" t="str"/>
      <x:c r="L23" s="41" t="str"/>
      <x:c r="M23" s="41" t="str"/>
      <x:c r="N23" s="41" t="str"/>
      <x:c r="O23" s="41" t="str"/>
      <x:c r="P23" s="41" t="str"/>
      <x:c r="Q23" s="41" t="str"/>
      <x:c r="R23" s="41" t="str"/>
    </x:row>
    <x:row r="24" ht="15" hidden="0" customHeight="1">
      <x:c r="A24" s="38" t="str"/>
      <x:c r="B24" s="38" t="str"/>
      <x:c r="C24" s="38" t="str"/>
      <x:c r="D24" s="38" t="str"/>
      <x:c r="E24" s="38" t="str"/>
      <x:c r="F24" s="38" t="str"/>
      <x:c r="G24" s="38" t="str"/>
      <x:c r="H24" s="41" t="str"/>
      <x:c r="I24" s="41" t="str"/>
      <x:c r="J24" s="41" t="str"/>
      <x:c r="K24" s="41" t="str"/>
      <x:c r="L24" s="41" t="str"/>
      <x:c r="M24" s="41" t="str"/>
      <x:c r="N24" s="41" t="str"/>
      <x:c r="O24" s="41" t="str"/>
      <x:c r="P24" s="41" t="str"/>
      <x:c r="Q24" s="41" t="str"/>
      <x:c r="R24" s="41" t="str"/>
    </x:row>
    <x:row r="25" ht="15" hidden="0" customHeight="1">
      <x:c r="A25" s="38" t="str"/>
      <x:c r="B25" s="38" t="str"/>
      <x:c r="C25" s="38" t="str"/>
      <x:c r="D25" s="38" t="str"/>
      <x:c r="E25" s="38" t="str"/>
      <x:c r="F25" s="38" t="str"/>
      <x:c r="G25" s="38" t="str"/>
      <x:c r="H25" s="41" t="str"/>
      <x:c r="I25" s="41" t="str"/>
      <x:c r="J25" s="41" t="str"/>
      <x:c r="K25" s="41" t="str"/>
      <x:c r="L25" s="41" t="str"/>
      <x:c r="M25" s="41" t="str"/>
      <x:c r="N25" s="41" t="str"/>
      <x:c r="O25" s="41" t="str"/>
      <x:c r="P25" s="41" t="str"/>
      <x:c r="Q25" s="41" t="str"/>
      <x:c r="R25" s="41" t="str"/>
    </x:row>
    <x:row r="26" ht="15" hidden="0" customHeight="1">
      <x:c r="A26" s="38" t="str"/>
      <x:c r="B26" s="38" t="str"/>
      <x:c r="C26" s="38" t="str"/>
      <x:c r="D26" s="38" t="str"/>
      <x:c r="E26" s="38" t="str"/>
      <x:c r="F26" s="38" t="str"/>
      <x:c r="G26" s="38" t="str"/>
      <x:c r="H26" s="41" t="str"/>
      <x:c r="I26" s="41" t="str"/>
      <x:c r="J26" s="41" t="str"/>
      <x:c r="K26" s="41" t="str"/>
      <x:c r="L26" s="41" t="str"/>
      <x:c r="M26" s="41" t="str"/>
      <x:c r="N26" s="41" t="str"/>
      <x:c r="O26" s="41" t="str"/>
      <x:c r="P26" s="41" t="str"/>
      <x:c r="Q26" s="41" t="str"/>
      <x:c r="R26" s="41" t="str"/>
    </x:row>
    <x:row r="27" ht="15" hidden="0" customHeight="1">
      <x:c r="A27" s="38" t="str"/>
      <x:c r="B27" s="38" t="str"/>
      <x:c r="C27" s="38" t="str"/>
      <x:c r="D27" s="38" t="str"/>
      <x:c r="E27" s="38" t="str"/>
      <x:c r="F27" s="38" t="str"/>
      <x:c r="G27" s="38" t="str"/>
      <x:c r="H27" s="41" t="str"/>
      <x:c r="I27" s="41" t="str"/>
      <x:c r="J27" s="41" t="str"/>
      <x:c r="K27" s="41" t="str"/>
      <x:c r="L27" s="41" t="str"/>
      <x:c r="M27" s="41" t="str"/>
      <x:c r="N27" s="41" t="str"/>
      <x:c r="O27" s="41" t="str"/>
      <x:c r="P27" s="41" t="str"/>
      <x:c r="Q27" s="41" t="str"/>
      <x:c r="R27" s="41" t="str"/>
    </x:row>
    <x:row r="28" ht="15" hidden="0" customHeight="1">
      <x:c r="A28" s="38" t="str"/>
      <x:c r="B28" s="38" t="str"/>
      <x:c r="C28" s="38" t="str"/>
      <x:c r="D28" s="38" t="str"/>
      <x:c r="E28" s="38" t="str"/>
      <x:c r="F28" s="38" t="str"/>
      <x:c r="G28" s="38" t="str"/>
      <x:c r="H28" s="41" t="str"/>
      <x:c r="I28" s="41" t="str"/>
      <x:c r="J28" s="41" t="str"/>
      <x:c r="K28" s="41" t="str"/>
      <x:c r="L28" s="41" t="str"/>
      <x:c r="M28" s="41" t="str"/>
      <x:c r="N28" s="41" t="str"/>
      <x:c r="O28" s="41" t="str"/>
      <x:c r="P28" s="41" t="str"/>
      <x:c r="Q28" s="41" t="str"/>
      <x:c r="R28" s="41" t="str"/>
    </x:row>
    <x:row r="29" ht="15" hidden="0" customHeight="1">
      <x:c r="A29" s="38" t="str"/>
      <x:c r="B29" s="38" t="str"/>
      <x:c r="C29" s="38" t="str"/>
      <x:c r="D29" s="38" t="str"/>
      <x:c r="E29" s="38" t="str"/>
      <x:c r="F29" s="38" t="str"/>
      <x:c r="G29" s="38" t="str"/>
      <x:c r="H29" s="41" t="str"/>
      <x:c r="I29" s="41" t="str"/>
      <x:c r="J29" s="41" t="str"/>
      <x:c r="K29" s="41" t="str"/>
      <x:c r="L29" s="41" t="str"/>
      <x:c r="M29" s="41" t="str"/>
      <x:c r="N29" s="41" t="str"/>
      <x:c r="O29" s="41" t="str"/>
      <x:c r="P29" s="41" t="str"/>
      <x:c r="Q29" s="41" t="str"/>
      <x:c r="R29" s="41" t="str"/>
    </x:row>
    <x:row r="30" ht="15" hidden="0" customHeight="1">
      <x:c r="A30" s="38" t="str"/>
      <x:c r="B30" s="38" t="str"/>
      <x:c r="C30" s="38" t="str"/>
      <x:c r="D30" s="38" t="str"/>
      <x:c r="E30" s="38" t="str"/>
      <x:c r="F30" s="38" t="str"/>
      <x:c r="G30" s="38" t="str"/>
      <x:c r="H30" s="41" t="str"/>
      <x:c r="I30" s="41" t="str"/>
      <x:c r="J30" s="41" t="str"/>
      <x:c r="K30" s="41" t="str"/>
      <x:c r="L30" s="41" t="str"/>
      <x:c r="M30" s="41" t="str"/>
      <x:c r="N30" s="41" t="str"/>
      <x:c r="O30" s="41" t="str"/>
      <x:c r="P30" s="41" t="str"/>
      <x:c r="Q30" s="41" t="str"/>
      <x:c r="R30" s="41" t="str"/>
    </x:row>
    <x:row r="31" ht="15" hidden="0" customHeight="1">
      <x:c r="A31" s="38" t="str"/>
      <x:c r="B31" s="38" t="str"/>
      <x:c r="C31" s="38" t="str"/>
      <x:c r="D31" s="38" t="str"/>
      <x:c r="E31" s="38" t="str"/>
      <x:c r="F31" s="38" t="str"/>
      <x:c r="G31" s="38" t="str"/>
      <x:c r="H31" s="41" t="str"/>
      <x:c r="I31" s="41" t="str"/>
      <x:c r="J31" s="41" t="str"/>
      <x:c r="K31" s="41" t="str"/>
      <x:c r="L31" s="41" t="str"/>
      <x:c r="M31" s="41" t="str"/>
      <x:c r="N31" s="41" t="str"/>
      <x:c r="O31" s="41" t="str"/>
      <x:c r="P31" s="41" t="str"/>
      <x:c r="Q31" s="41" t="str"/>
      <x:c r="R31" s="41" t="str"/>
    </x:row>
    <x:row r="32" ht="15" hidden="0" customHeight="1">
      <x:c r="A32" s="38" t="str"/>
      <x:c r="B32" s="38" t="str"/>
      <x:c r="C32" s="38" t="str"/>
      <x:c r="D32" s="38" t="str"/>
      <x:c r="E32" s="38" t="str"/>
      <x:c r="F32" s="38" t="str"/>
      <x:c r="G32" s="38" t="str"/>
      <x:c r="H32" s="41" t="str"/>
      <x:c r="I32" s="41" t="str"/>
      <x:c r="J32" s="41" t="str"/>
      <x:c r="K32" s="41" t="str"/>
      <x:c r="L32" s="41" t="str"/>
      <x:c r="M32" s="41" t="str"/>
      <x:c r="N32" s="41" t="str"/>
      <x:c r="O32" s="41" t="str"/>
      <x:c r="P32" s="41" t="str"/>
      <x:c r="Q32" s="41" t="str"/>
      <x:c r="R32" s="41" t="str"/>
    </x:row>
    <x:row r="33" ht="15" hidden="0" customHeight="1">
      <x:c r="A33" s="38" t="str"/>
      <x:c r="B33" s="38" t="str"/>
      <x:c r="C33" s="38" t="str"/>
      <x:c r="D33" s="38" t="str"/>
      <x:c r="E33" s="38" t="str"/>
      <x:c r="F33" s="38" t="str"/>
      <x:c r="G33" s="38" t="str"/>
      <x:c r="H33" s="41" t="str"/>
      <x:c r="I33" s="41" t="str"/>
      <x:c r="J33" s="41" t="str"/>
      <x:c r="K33" s="41" t="str"/>
      <x:c r="L33" s="41" t="str"/>
      <x:c r="M33" s="41" t="str"/>
      <x:c r="N33" s="41" t="str"/>
      <x:c r="O33" s="41" t="str"/>
      <x:c r="P33" s="41" t="str"/>
      <x:c r="Q33" s="41" t="str"/>
      <x:c r="R33" s="41" t="str"/>
    </x:row>
    <x:row r="34" ht="15" hidden="0" customHeight="1">
      <x:c r="A34" s="38" t="str"/>
      <x:c r="B34" s="38" t="str"/>
      <x:c r="C34" s="38" t="str"/>
      <x:c r="D34" s="38" t="str"/>
      <x:c r="E34" s="38" t="str"/>
      <x:c r="F34" s="38" t="str"/>
      <x:c r="G34" s="38" t="str"/>
      <x:c r="H34" s="41" t="str"/>
      <x:c r="I34" s="41" t="str"/>
      <x:c r="J34" s="41" t="str"/>
      <x:c r="K34" s="41" t="str"/>
      <x:c r="L34" s="41" t="str"/>
      <x:c r="M34" s="41" t="str"/>
      <x:c r="N34" s="41" t="str"/>
      <x:c r="O34" s="41" t="str"/>
      <x:c r="P34" s="41" t="str"/>
      <x:c r="Q34" s="41" t="str"/>
      <x:c r="R34" s="41" t="str"/>
    </x:row>
    <x:row r="35" ht="15" hidden="0" customHeight="1">
      <x:c r="A35" s="38" t="str"/>
      <x:c r="B35" s="38" t="str"/>
      <x:c r="C35" s="38" t="str"/>
      <x:c r="D35" s="38" t="str"/>
      <x:c r="E35" s="38" t="str"/>
      <x:c r="F35" s="38" t="str"/>
      <x:c r="G35" s="38" t="str"/>
      <x:c r="H35" s="41" t="str"/>
      <x:c r="I35" s="41" t="str"/>
      <x:c r="J35" s="41" t="str"/>
      <x:c r="K35" s="41" t="str"/>
      <x:c r="L35" s="41" t="str"/>
      <x:c r="M35" s="41" t="str"/>
      <x:c r="N35" s="41" t="str"/>
      <x:c r="O35" s="41" t="str"/>
      <x:c r="P35" s="41" t="str"/>
      <x:c r="Q35" s="41" t="str"/>
      <x:c r="R35" s="41" t="str"/>
    </x:row>
    <x:row r="36" ht="15" hidden="0" customHeight="1">
      <x:c r="A36" s="38" t="str"/>
      <x:c r="B36" s="38" t="str"/>
      <x:c r="C36" s="38" t="str"/>
      <x:c r="D36" s="38" t="str"/>
      <x:c r="E36" s="38" t="str"/>
      <x:c r="F36" s="38" t="str"/>
      <x:c r="G36" s="38" t="str"/>
      <x:c r="H36" s="41" t="str"/>
      <x:c r="I36" s="41" t="str"/>
      <x:c r="J36" s="41" t="str"/>
      <x:c r="K36" s="41" t="str"/>
      <x:c r="L36" s="41" t="str"/>
      <x:c r="M36" s="41" t="str"/>
      <x:c r="N36" s="41" t="str"/>
      <x:c r="O36" s="41" t="str"/>
      <x:c r="P36" s="41" t="str"/>
      <x:c r="Q36" s="41" t="str"/>
      <x:c r="R36" s="41" t="str"/>
    </x:row>
    <x:row r="37" ht="15" hidden="0" customHeight="1">
      <x:c r="A37" s="38" t="str"/>
      <x:c r="B37" s="38" t="str"/>
      <x:c r="C37" s="38" t="str"/>
      <x:c r="D37" s="38" t="str"/>
      <x:c r="E37" s="38" t="str"/>
      <x:c r="F37" s="38" t="str"/>
      <x:c r="G37" s="38" t="str"/>
      <x:c r="H37" s="41" t="str"/>
      <x:c r="I37" s="41" t="str"/>
      <x:c r="J37" s="41" t="str"/>
      <x:c r="K37" s="41" t="str"/>
      <x:c r="L37" s="41" t="str"/>
      <x:c r="M37" s="41" t="str"/>
      <x:c r="N37" s="41" t="str"/>
      <x:c r="O37" s="41" t="str"/>
      <x:c r="P37" s="41" t="str"/>
      <x:c r="Q37" s="41" t="str"/>
      <x:c r="R37" s="41" t="str"/>
    </x:row>
    <x:row r="38" ht="15" hidden="0" customHeight="1">
      <x:c r="A38" s="38" t="str"/>
      <x:c r="B38" s="38" t="str"/>
      <x:c r="C38" s="38" t="str"/>
      <x:c r="D38" s="38" t="str"/>
      <x:c r="E38" s="38" t="str"/>
      <x:c r="F38" s="38" t="str"/>
      <x:c r="G38" s="38" t="str"/>
      <x:c r="H38" s="41" t="str"/>
      <x:c r="I38" s="41" t="str"/>
      <x:c r="J38" s="41" t="str"/>
      <x:c r="K38" s="41" t="str"/>
      <x:c r="L38" s="41" t="str"/>
      <x:c r="M38" s="41" t="str"/>
      <x:c r="N38" s="41" t="str"/>
      <x:c r="O38" s="41" t="str"/>
      <x:c r="P38" s="41" t="str"/>
      <x:c r="Q38" s="41" t="str"/>
      <x:c r="R38" s="41" t="str"/>
    </x:row>
    <x:row r="39" ht="15" hidden="0" customHeight="1">
      <x:c r="A39" s="38" t="str"/>
      <x:c r="B39" s="38" t="str"/>
      <x:c r="C39" s="38" t="str"/>
      <x:c r="D39" s="38" t="str"/>
      <x:c r="E39" s="38" t="str"/>
      <x:c r="F39" s="38" t="str"/>
      <x:c r="G39" s="38" t="str"/>
      <x:c r="H39" s="41" t="str"/>
      <x:c r="I39" s="41" t="str"/>
      <x:c r="J39" s="41" t="str"/>
      <x:c r="K39" s="41" t="str"/>
      <x:c r="L39" s="41" t="str"/>
      <x:c r="M39" s="41" t="str"/>
      <x:c r="N39" s="41" t="str"/>
      <x:c r="O39" s="41" t="str"/>
      <x:c r="P39" s="41" t="str"/>
      <x:c r="Q39" s="41" t="str"/>
      <x:c r="R39" s="41" t="str"/>
    </x:row>
    <x:row r="40" ht="15" hidden="0" customHeight="1">
      <x:c r="A40" s="38" t="str"/>
      <x:c r="B40" s="38" t="str"/>
      <x:c r="C40" s="38" t="str"/>
      <x:c r="D40" s="38" t="str"/>
      <x:c r="E40" s="38" t="str"/>
      <x:c r="F40" s="38" t="str"/>
      <x:c r="G40" s="38" t="str"/>
      <x:c r="H40" s="41" t="str"/>
      <x:c r="I40" s="41" t="str"/>
      <x:c r="J40" s="41" t="str"/>
      <x:c r="K40" s="41" t="str"/>
      <x:c r="L40" s="41" t="str"/>
      <x:c r="M40" s="41" t="str"/>
      <x:c r="N40" s="41" t="str"/>
      <x:c r="O40" s="41" t="str"/>
      <x:c r="P40" s="41" t="str"/>
      <x:c r="Q40" s="41" t="str"/>
      <x:c r="R40" s="41" t="str"/>
    </x:row>
    <x:row r="41" ht="15" hidden="0" customHeight="1">
      <x:c r="A41" s="38" t="str"/>
      <x:c r="B41" s="38" t="str"/>
      <x:c r="C41" s="38" t="str"/>
      <x:c r="D41" s="38" t="str"/>
      <x:c r="E41" s="38" t="str"/>
      <x:c r="F41" s="38" t="str"/>
      <x:c r="G41" s="38" t="str"/>
      <x:c r="H41" s="41" t="str"/>
      <x:c r="I41" s="41" t="str"/>
      <x:c r="J41" s="41" t="str"/>
      <x:c r="K41" s="41" t="str"/>
      <x:c r="L41" s="41" t="str"/>
      <x:c r="M41" s="41" t="str"/>
      <x:c r="N41" s="41" t="str"/>
      <x:c r="O41" s="41" t="str"/>
      <x:c r="P41" s="41" t="str"/>
      <x:c r="Q41" s="41" t="str"/>
      <x:c r="R41" s="41" t="str"/>
    </x:row>
    <x:row r="42" ht="15" hidden="0" customHeight="1">
      <x:c r="A42" s="38" t="str"/>
      <x:c r="B42" s="38" t="str"/>
      <x:c r="C42" s="38" t="str"/>
      <x:c r="D42" s="38" t="str"/>
      <x:c r="E42" s="38" t="str"/>
      <x:c r="F42" s="38" t="str"/>
      <x:c r="G42" s="38" t="str"/>
      <x:c r="H42" s="41" t="str"/>
      <x:c r="I42" s="41" t="str"/>
      <x:c r="J42" s="41" t="str"/>
      <x:c r="K42" s="41" t="str"/>
      <x:c r="L42" s="41" t="str"/>
      <x:c r="M42" s="41" t="str"/>
      <x:c r="N42" s="41" t="str"/>
      <x:c r="O42" s="41" t="str"/>
      <x:c r="P42" s="41" t="str"/>
      <x:c r="Q42" s="41" t="str"/>
      <x:c r="R42" s="41" t="str"/>
    </x:row>
    <x:row r="43" ht="15" hidden="0" customHeight="1">
      <x:c r="A43" s="38" t="str"/>
      <x:c r="B43" s="38" t="str"/>
      <x:c r="C43" s="38" t="str"/>
      <x:c r="D43" s="38" t="str"/>
      <x:c r="E43" s="38" t="str"/>
      <x:c r="F43" s="38" t="str"/>
      <x:c r="G43" s="38" t="str"/>
      <x:c r="H43" s="41" t="str"/>
      <x:c r="I43" s="41" t="str"/>
      <x:c r="J43" s="41" t="str"/>
      <x:c r="K43" s="41" t="str"/>
      <x:c r="L43" s="41" t="str"/>
      <x:c r="M43" s="41" t="str"/>
      <x:c r="N43" s="41" t="str"/>
      <x:c r="O43" s="41" t="str"/>
      <x:c r="P43" s="41" t="str"/>
      <x:c r="Q43" s="41" t="str"/>
      <x:c r="R43" s="41" t="str"/>
    </x:row>
    <x:row r="44" ht="15" hidden="0" customHeight="1">
      <x:c r="A44" s="38" t="str"/>
      <x:c r="B44" s="38" t="str"/>
      <x:c r="C44" s="38" t="str"/>
      <x:c r="D44" s="38" t="str"/>
      <x:c r="E44" s="38" t="str"/>
      <x:c r="F44" s="38" t="str"/>
      <x:c r="G44" s="38" t="str"/>
      <x:c r="H44" s="41" t="str"/>
      <x:c r="I44" s="41" t="str"/>
      <x:c r="J44" s="41" t="str"/>
      <x:c r="K44" s="41" t="str"/>
      <x:c r="L44" s="41" t="str"/>
      <x:c r="M44" s="41" t="str"/>
      <x:c r="N44" s="41" t="str"/>
      <x:c r="O44" s="41" t="str"/>
      <x:c r="P44" s="41" t="str"/>
      <x:c r="Q44" s="41" t="str"/>
      <x:c r="R44" s="41" t="str"/>
    </x:row>
    <x:row r="45" ht="15" hidden="0" customHeight="1">
      <x:c r="A45" s="38" t="str"/>
      <x:c r="B45" s="38" t="str"/>
      <x:c r="C45" s="38" t="str"/>
      <x:c r="D45" s="38" t="str"/>
      <x:c r="E45" s="38" t="str"/>
      <x:c r="F45" s="38" t="str"/>
      <x:c r="G45" s="38" t="str"/>
      <x:c r="H45" s="41" t="str"/>
      <x:c r="I45" s="41" t="str"/>
      <x:c r="J45" s="41" t="str"/>
      <x:c r="K45" s="41" t="str"/>
      <x:c r="L45" s="41" t="str"/>
      <x:c r="M45" s="41" t="str"/>
      <x:c r="N45" s="41" t="str"/>
      <x:c r="O45" s="41" t="str"/>
      <x:c r="P45" s="41" t="str"/>
      <x:c r="Q45" s="41" t="str"/>
      <x:c r="R45" s="41" t="str"/>
    </x:row>
    <x:row r="46" ht="15" hidden="0" customHeight="1">
      <x:c r="A46" s="38" t="str"/>
      <x:c r="B46" s="38" t="str"/>
      <x:c r="C46" s="38" t="str"/>
      <x:c r="D46" s="38" t="str"/>
      <x:c r="E46" s="38" t="str"/>
      <x:c r="F46" s="38" t="str"/>
      <x:c r="G46" s="38" t="str"/>
      <x:c r="H46" s="41" t="str"/>
      <x:c r="I46" s="41" t="str"/>
      <x:c r="J46" s="41" t="str"/>
      <x:c r="K46" s="41" t="str"/>
      <x:c r="L46" s="41" t="str"/>
      <x:c r="M46" s="41" t="str"/>
      <x:c r="N46" s="41" t="str"/>
      <x:c r="O46" s="41" t="str"/>
      <x:c r="P46" s="41" t="str"/>
      <x:c r="Q46" s="41" t="str"/>
      <x:c r="R46" s="41" t="str"/>
    </x:row>
    <x:row r="47" ht="15" hidden="0" customHeight="1">
      <x:c r="A47" s="38" t="str"/>
      <x:c r="B47" s="38" t="str"/>
      <x:c r="C47" s="38" t="str"/>
      <x:c r="D47" s="38" t="str"/>
      <x:c r="E47" s="38" t="str"/>
      <x:c r="F47" s="38" t="str"/>
      <x:c r="G47" s="38" t="str"/>
      <x:c r="H47" s="41" t="str"/>
      <x:c r="I47" s="41" t="str"/>
      <x:c r="J47" s="41" t="str"/>
      <x:c r="K47" s="41" t="str"/>
      <x:c r="L47" s="41" t="str"/>
      <x:c r="M47" s="41" t="str"/>
      <x:c r="N47" s="41" t="str"/>
      <x:c r="O47" s="41" t="str"/>
      <x:c r="P47" s="41" t="str"/>
      <x:c r="Q47" s="41" t="str"/>
      <x:c r="R47" s="41" t="str"/>
    </x:row>
    <x:row r="48" ht="15" hidden="0" customHeight="1">
      <x:c r="A48" s="38" t="str"/>
      <x:c r="B48" s="38" t="str"/>
      <x:c r="C48" s="38" t="str"/>
      <x:c r="D48" s="38" t="str"/>
      <x:c r="E48" s="38" t="str"/>
      <x:c r="F48" s="38" t="str"/>
      <x:c r="G48" s="38" t="str"/>
      <x:c r="H48" s="41" t="str"/>
      <x:c r="I48" s="41" t="str"/>
      <x:c r="J48" s="41" t="str"/>
      <x:c r="K48" s="41" t="str"/>
      <x:c r="L48" s="41" t="str"/>
      <x:c r="M48" s="41" t="str"/>
      <x:c r="N48" s="41" t="str"/>
      <x:c r="O48" s="41" t="str"/>
      <x:c r="P48" s="41" t="str"/>
      <x:c r="Q48" s="41" t="str"/>
      <x:c r="R48" s="41" t="str"/>
    </x:row>
    <x:row r="49" ht="15" hidden="0" customHeight="1">
      <x:c r="A49" s="38" t="str"/>
      <x:c r="B49" s="38" t="str"/>
      <x:c r="C49" s="38" t="str"/>
      <x:c r="D49" s="38" t="str"/>
      <x:c r="E49" s="38" t="str"/>
      <x:c r="F49" s="38" t="str"/>
      <x:c r="G49" s="38" t="str"/>
      <x:c r="H49" s="41" t="str"/>
      <x:c r="I49" s="41" t="str"/>
      <x:c r="J49" s="41" t="str"/>
      <x:c r="K49" s="41" t="str"/>
      <x:c r="L49" s="41" t="str"/>
      <x:c r="M49" s="41" t="str"/>
      <x:c r="N49" s="41" t="str"/>
      <x:c r="O49" s="41" t="str"/>
      <x:c r="P49" s="41" t="str"/>
      <x:c r="Q49" s="41" t="str"/>
      <x:c r="R49" s="41" t="str"/>
    </x:row>
    <x:row r="50" ht="15" hidden="0" customHeight="1">
      <x:c r="A50" s="38" t="str"/>
      <x:c r="B50" s="38" t="str"/>
      <x:c r="C50" s="38" t="str"/>
      <x:c r="D50" s="38" t="str"/>
      <x:c r="E50" s="38" t="str"/>
      <x:c r="F50" s="38" t="str"/>
      <x:c r="G50" s="38" t="str"/>
      <x:c r="H50" s="41" t="str"/>
      <x:c r="I50" s="41" t="str"/>
      <x:c r="J50" s="41" t="str"/>
      <x:c r="K50" s="41" t="str"/>
      <x:c r="L50" s="41" t="str"/>
      <x:c r="M50" s="41" t="str"/>
      <x:c r="N50" s="41" t="str"/>
      <x:c r="O50" s="41" t="str"/>
      <x:c r="P50" s="41" t="str"/>
      <x:c r="Q50" s="41" t="str"/>
      <x:c r="R50" s="41" t="str"/>
    </x:row>
    <x:row r="51" ht="15" hidden="0" customHeight="1">
      <x:c r="A51" s="38" t="str"/>
      <x:c r="B51" s="38" t="str"/>
      <x:c r="C51" s="38" t="str"/>
      <x:c r="D51" s="38" t="str"/>
      <x:c r="E51" s="38" t="str"/>
      <x:c r="F51" s="38" t="str"/>
      <x:c r="G51" s="38" t="str"/>
      <x:c r="H51" s="41" t="str"/>
      <x:c r="I51" s="41" t="str"/>
      <x:c r="J51" s="41" t="str"/>
      <x:c r="K51" s="41" t="str"/>
      <x:c r="L51" s="41" t="str"/>
      <x:c r="M51" s="41" t="str"/>
      <x:c r="N51" s="41" t="str"/>
      <x:c r="O51" s="41" t="str"/>
      <x:c r="P51" s="41" t="str"/>
      <x:c r="Q51" s="41" t="str"/>
      <x:c r="R51" s="41" t="str"/>
    </x:row>
    <x:row r="52" ht="15" hidden="0" customHeight="1">
      <x:c r="A52" s="38" t="str"/>
      <x:c r="B52" s="38" t="str"/>
      <x:c r="C52" s="38" t="str"/>
      <x:c r="D52" s="38" t="str"/>
      <x:c r="E52" s="38" t="str"/>
      <x:c r="F52" s="38" t="str"/>
      <x:c r="G52" s="38" t="str"/>
      <x:c r="H52" s="41" t="str"/>
      <x:c r="I52" s="41" t="str"/>
      <x:c r="J52" s="41" t="str"/>
      <x:c r="K52" s="41" t="str"/>
      <x:c r="L52" s="41" t="str"/>
      <x:c r="M52" s="41" t="str"/>
      <x:c r="N52" s="41" t="str"/>
      <x:c r="O52" s="41" t="str"/>
      <x:c r="P52" s="41" t="str"/>
      <x:c r="Q52" s="41" t="str"/>
      <x:c r="R52" s="41" t="str"/>
    </x:row>
    <x:row r="53" ht="15" hidden="0" customHeight="1">
      <x:c r="A53" s="38" t="str"/>
      <x:c r="B53" s="38" t="str"/>
      <x:c r="C53" s="38" t="str"/>
      <x:c r="D53" s="38" t="str"/>
      <x:c r="E53" s="38" t="str"/>
      <x:c r="F53" s="38" t="str"/>
      <x:c r="G53" s="38" t="str"/>
      <x:c r="H53" s="41" t="str"/>
      <x:c r="I53" s="41" t="str"/>
      <x:c r="J53" s="41" t="str"/>
      <x:c r="K53" s="41" t="str"/>
      <x:c r="L53" s="41" t="str"/>
      <x:c r="M53" s="41" t="str"/>
      <x:c r="N53" s="41" t="str"/>
      <x:c r="O53" s="41" t="str"/>
      <x:c r="P53" s="41" t="str"/>
      <x:c r="Q53" s="41" t="str"/>
      <x:c r="R53" s="41" t="str"/>
    </x:row>
    <x:row r="54" ht="15" hidden="0" customHeight="1">
      <x:c r="A54" s="38" t="str"/>
      <x:c r="B54" s="38" t="str"/>
      <x:c r="C54" s="38" t="str"/>
      <x:c r="D54" s="38" t="str"/>
      <x:c r="E54" s="38" t="str"/>
      <x:c r="F54" s="38" t="str"/>
      <x:c r="G54" s="38" t="str"/>
      <x:c r="H54" s="41" t="str"/>
      <x:c r="I54" s="41" t="str"/>
      <x:c r="J54" s="41" t="str"/>
      <x:c r="K54" s="41" t="str"/>
      <x:c r="L54" s="41" t="str"/>
      <x:c r="M54" s="41" t="str"/>
      <x:c r="N54" s="41" t="str"/>
      <x:c r="O54" s="41" t="str"/>
      <x:c r="P54" s="41" t="str"/>
      <x:c r="Q54" s="41" t="str"/>
      <x:c r="R54" s="41" t="str"/>
    </x:row>
    <x:row r="55" ht="15" hidden="0" customHeight="1">
      <x:c r="A55" s="38" t="str"/>
      <x:c r="B55" s="38" t="str"/>
      <x:c r="C55" s="38" t="str"/>
      <x:c r="D55" s="38" t="str"/>
      <x:c r="E55" s="38" t="str"/>
      <x:c r="F55" s="38" t="str"/>
      <x:c r="G55" s="38" t="str"/>
      <x:c r="H55" s="41" t="str"/>
      <x:c r="I55" s="41" t="str"/>
      <x:c r="J55" s="41" t="str"/>
      <x:c r="K55" s="41" t="str"/>
      <x:c r="L55" s="41" t="str"/>
      <x:c r="M55" s="41" t="str"/>
      <x:c r="N55" s="41" t="str"/>
      <x:c r="O55" s="41" t="str"/>
      <x:c r="P55" s="41" t="str"/>
      <x:c r="Q55" s="41" t="str"/>
      <x:c r="R55" s="41" t="str"/>
    </x:row>
    <x:row r="56" ht="15" hidden="0" customHeight="1">
      <x:c r="A56" s="38" t="str"/>
      <x:c r="B56" s="38" t="str"/>
      <x:c r="C56" s="38" t="str"/>
      <x:c r="D56" s="38" t="str"/>
      <x:c r="E56" s="38" t="str"/>
      <x:c r="F56" s="38" t="str"/>
      <x:c r="G56" s="38" t="str"/>
      <x:c r="H56" s="41" t="str"/>
      <x:c r="I56" s="41" t="str"/>
      <x:c r="J56" s="41" t="str"/>
      <x:c r="K56" s="41" t="str"/>
      <x:c r="L56" s="41" t="str"/>
      <x:c r="M56" s="41" t="str"/>
      <x:c r="N56" s="41" t="str"/>
      <x:c r="O56" s="41" t="str"/>
      <x:c r="P56" s="41" t="str"/>
      <x:c r="Q56" s="41" t="str"/>
      <x:c r="R56" s="41" t="str"/>
    </x:row>
    <x:row r="57" ht="15" hidden="0" customHeight="1">
      <x:c r="A57" s="38" t="str"/>
      <x:c r="B57" s="38" t="str"/>
      <x:c r="C57" s="38" t="str"/>
      <x:c r="D57" s="38" t="str"/>
      <x:c r="E57" s="38" t="str"/>
      <x:c r="F57" s="38" t="str"/>
      <x:c r="G57" s="38" t="str"/>
      <x:c r="H57" s="41" t="str"/>
      <x:c r="I57" s="41" t="str"/>
      <x:c r="J57" s="41" t="str"/>
      <x:c r="K57" s="41" t="str"/>
      <x:c r="L57" s="41" t="str"/>
      <x:c r="M57" s="41" t="str"/>
      <x:c r="N57" s="41" t="str"/>
      <x:c r="O57" s="41" t="str"/>
      <x:c r="P57" s="41" t="str"/>
      <x:c r="Q57" s="41" t="str"/>
      <x:c r="R57" s="41" t="str"/>
    </x:row>
    <x:row r="58" ht="15" hidden="0" customHeight="1">
      <x:c r="A58" s="38" t="str"/>
      <x:c r="B58" s="38" t="str"/>
      <x:c r="C58" s="38" t="str"/>
      <x:c r="D58" s="38" t="str"/>
      <x:c r="E58" s="38" t="str"/>
      <x:c r="F58" s="38" t="str"/>
      <x:c r="G58" s="38" t="str"/>
      <x:c r="H58" s="41" t="str"/>
      <x:c r="I58" s="41" t="str"/>
      <x:c r="J58" s="41" t="str"/>
      <x:c r="K58" s="41" t="str"/>
      <x:c r="L58" s="41" t="str"/>
      <x:c r="M58" s="41" t="str"/>
      <x:c r="N58" s="41" t="str"/>
      <x:c r="O58" s="41" t="str"/>
      <x:c r="P58" s="41" t="str"/>
      <x:c r="Q58" s="41" t="str"/>
      <x:c r="R58" s="41" t="str"/>
    </x:row>
    <x:row r="59" ht="15" hidden="0" customHeight="1">
      <x:c r="A59" s="38" t="str"/>
      <x:c r="B59" s="38" t="str"/>
      <x:c r="C59" s="38" t="str"/>
      <x:c r="D59" s="38" t="str"/>
      <x:c r="E59" s="38" t="str"/>
      <x:c r="F59" s="38" t="str"/>
      <x:c r="G59" s="38" t="str"/>
      <x:c r="H59" s="41" t="str"/>
      <x:c r="I59" s="41" t="str"/>
      <x:c r="J59" s="41" t="str"/>
      <x:c r="K59" s="41" t="str"/>
      <x:c r="L59" s="41" t="str"/>
      <x:c r="M59" s="41" t="str"/>
      <x:c r="N59" s="41" t="str"/>
      <x:c r="O59" s="41" t="str"/>
      <x:c r="P59" s="41" t="str"/>
      <x:c r="Q59" s="41" t="str"/>
      <x:c r="R59" s="41" t="str"/>
    </x:row>
    <x:row r="60" ht="15" hidden="0" customHeight="1">
      <x:c r="A60" s="38" t="str"/>
      <x:c r="B60" s="38" t="str"/>
      <x:c r="C60" s="38" t="str"/>
      <x:c r="D60" s="38" t="str"/>
      <x:c r="E60" s="38" t="str"/>
      <x:c r="F60" s="38" t="str"/>
      <x:c r="G60" s="38" t="str"/>
      <x:c r="H60" s="41" t="str"/>
      <x:c r="I60" s="41" t="str"/>
      <x:c r="J60" s="41" t="str"/>
      <x:c r="K60" s="41" t="str"/>
      <x:c r="L60" s="41" t="str"/>
      <x:c r="M60" s="41" t="str"/>
      <x:c r="N60" s="41" t="str"/>
      <x:c r="O60" s="41" t="str"/>
      <x:c r="P60" s="41" t="str"/>
      <x:c r="Q60" s="41" t="str"/>
      <x:c r="R60" s="41" t="str"/>
    </x:row>
    <x:row r="61" ht="15" hidden="0" customHeight="1">
      <x:c r="A61" s="38" t="str"/>
      <x:c r="B61" s="38" t="str"/>
      <x:c r="C61" s="38" t="str"/>
      <x:c r="D61" s="38" t="str"/>
      <x:c r="E61" s="38" t="str"/>
      <x:c r="F61" s="38" t="str"/>
      <x:c r="G61" s="38" t="str"/>
      <x:c r="H61" s="41" t="str"/>
      <x:c r="I61" s="41" t="str"/>
      <x:c r="J61" s="41" t="str"/>
      <x:c r="K61" s="41" t="str"/>
      <x:c r="L61" s="41" t="str"/>
      <x:c r="M61" s="41" t="str"/>
      <x:c r="N61" s="41" t="str"/>
      <x:c r="O61" s="41" t="str"/>
      <x:c r="P61" s="41" t="str"/>
      <x:c r="Q61" s="41" t="str"/>
      <x:c r="R61" s="41" t="str"/>
    </x:row>
    <x:row r="62" ht="15" hidden="0" customHeight="1">
      <x:c r="A62" s="38" t="str"/>
      <x:c r="B62" s="38" t="str"/>
      <x:c r="C62" s="38" t="str"/>
      <x:c r="D62" s="38" t="str"/>
      <x:c r="E62" s="38" t="str"/>
      <x:c r="F62" s="38" t="str"/>
      <x:c r="G62" s="38" t="str"/>
      <x:c r="H62" s="41" t="str"/>
      <x:c r="I62" s="41" t="str"/>
      <x:c r="J62" s="41" t="str"/>
      <x:c r="K62" s="41" t="str"/>
      <x:c r="L62" s="41" t="str"/>
      <x:c r="M62" s="41" t="str"/>
      <x:c r="N62" s="41" t="str"/>
      <x:c r="O62" s="41" t="str"/>
      <x:c r="P62" s="41" t="str"/>
      <x:c r="Q62" s="41" t="str"/>
      <x:c r="R62" s="41" t="str"/>
    </x:row>
    <x:row r="63" ht="15" hidden="0" customHeight="1">
      <x:c r="A63" s="38" t="str"/>
      <x:c r="B63" s="38" t="str"/>
      <x:c r="C63" s="38" t="str"/>
      <x:c r="D63" s="38" t="str"/>
      <x:c r="E63" s="38" t="str"/>
      <x:c r="F63" s="38" t="str"/>
      <x:c r="G63" s="38" t="str"/>
      <x:c r="H63" s="41" t="str"/>
      <x:c r="I63" s="41" t="str"/>
      <x:c r="J63" s="41" t="str"/>
      <x:c r="K63" s="41" t="str"/>
      <x:c r="L63" s="41" t="str"/>
      <x:c r="M63" s="41" t="str"/>
      <x:c r="N63" s="41" t="str"/>
      <x:c r="O63" s="41" t="str"/>
      <x:c r="P63" s="41" t="str"/>
      <x:c r="Q63" s="41" t="str"/>
      <x:c r="R63" s="41" t="str"/>
    </x:row>
    <x:row r="64" ht="15" hidden="0" customHeight="1">
      <x:c r="A64" s="38" t="str"/>
      <x:c r="B64" s="38" t="str"/>
      <x:c r="C64" s="38" t="str"/>
      <x:c r="D64" s="38" t="str"/>
      <x:c r="E64" s="38" t="str"/>
      <x:c r="F64" s="38" t="str"/>
      <x:c r="G64" s="38" t="str"/>
      <x:c r="H64" s="41" t="str"/>
      <x:c r="I64" s="41" t="str"/>
      <x:c r="J64" s="41" t="str"/>
      <x:c r="K64" s="41" t="str"/>
      <x:c r="L64" s="41" t="str"/>
      <x:c r="M64" s="41" t="str"/>
      <x:c r="N64" s="41" t="str"/>
      <x:c r="O64" s="41" t="str"/>
      <x:c r="P64" s="41" t="str"/>
      <x:c r="Q64" s="41" t="str"/>
      <x:c r="R64" s="41" t="str"/>
    </x:row>
    <x:row r="65" ht="15" hidden="0" customHeight="1">
      <x:c r="A65" s="38" t="str"/>
      <x:c r="B65" s="38" t="str"/>
      <x:c r="C65" s="38" t="str"/>
      <x:c r="D65" s="38" t="str"/>
      <x:c r="E65" s="38" t="str"/>
      <x:c r="F65" s="38" t="str"/>
      <x:c r="G65" s="38" t="str"/>
      <x:c r="H65" s="41" t="str"/>
      <x:c r="I65" s="41" t="str"/>
      <x:c r="J65" s="41" t="str"/>
      <x:c r="K65" s="41" t="str"/>
      <x:c r="L65" s="41" t="str"/>
      <x:c r="M65" s="41" t="str"/>
      <x:c r="N65" s="41" t="str"/>
      <x:c r="O65" s="41" t="str"/>
      <x:c r="P65" s="41" t="str"/>
      <x:c r="Q65" s="41" t="str"/>
      <x:c r="R65" s="41" t="str"/>
    </x:row>
    <x:row r="66" ht="15" hidden="0" customHeight="1">
      <x:c r="A66" s="38" t="str"/>
      <x:c r="B66" s="38" t="str"/>
      <x:c r="C66" s="38" t="str"/>
      <x:c r="D66" s="38" t="str"/>
      <x:c r="E66" s="38" t="str"/>
      <x:c r="F66" s="38" t="str"/>
      <x:c r="G66" s="38" t="str"/>
      <x:c r="H66" s="41" t="str"/>
      <x:c r="I66" s="41" t="str"/>
      <x:c r="J66" s="41" t="str"/>
      <x:c r="K66" s="41" t="str"/>
      <x:c r="L66" s="41" t="str"/>
      <x:c r="M66" s="41" t="str"/>
      <x:c r="N66" s="41" t="str"/>
      <x:c r="O66" s="41" t="str"/>
      <x:c r="P66" s="41" t="str"/>
      <x:c r="Q66" s="41" t="str"/>
      <x:c r="R66" s="41" t="str"/>
    </x:row>
    <x:row r="67" ht="15" hidden="0" customHeight="1">
      <x:c r="A67" s="38" t="str"/>
      <x:c r="B67" s="38" t="str"/>
      <x:c r="C67" s="38" t="str"/>
      <x:c r="D67" s="38" t="str"/>
      <x:c r="E67" s="38" t="str"/>
      <x:c r="F67" s="38" t="str"/>
      <x:c r="G67" s="38" t="str"/>
      <x:c r="H67" s="41" t="str"/>
      <x:c r="I67" s="41" t="str"/>
      <x:c r="J67" s="41" t="str"/>
      <x:c r="K67" s="41" t="str"/>
      <x:c r="L67" s="41" t="str"/>
      <x:c r="M67" s="41" t="str"/>
      <x:c r="N67" s="41" t="str"/>
      <x:c r="O67" s="41" t="str"/>
      <x:c r="P67" s="41" t="str"/>
      <x:c r="Q67" s="41" t="str"/>
      <x:c r="R67" s="41" t="str"/>
    </x:row>
    <x:row r="68" ht="15" hidden="0" customHeight="1">
      <x:c r="A68" s="38" t="str"/>
      <x:c r="B68" s="38" t="str"/>
      <x:c r="C68" s="38" t="str"/>
      <x:c r="D68" s="38" t="str"/>
      <x:c r="E68" s="38" t="str"/>
      <x:c r="F68" s="38" t="str"/>
      <x:c r="G68" s="38" t="str"/>
      <x:c r="H68" s="41" t="str"/>
      <x:c r="I68" s="41" t="str"/>
      <x:c r="J68" s="41" t="str"/>
      <x:c r="K68" s="41" t="str"/>
      <x:c r="L68" s="41" t="str"/>
      <x:c r="M68" s="41" t="str"/>
      <x:c r="N68" s="41" t="str"/>
      <x:c r="O68" s="41" t="str"/>
      <x:c r="P68" s="41" t="str"/>
      <x:c r="Q68" s="41" t="str"/>
      <x:c r="R68" s="41" t="str"/>
    </x:row>
    <x:row r="69" ht="15" hidden="0" customHeight="1">
      <x:c r="A69" s="38" t="str"/>
      <x:c r="B69" s="38" t="str"/>
      <x:c r="C69" s="38" t="str"/>
      <x:c r="D69" s="38" t="str"/>
      <x:c r="E69" s="38" t="str"/>
      <x:c r="F69" s="38" t="str"/>
      <x:c r="G69" s="38" t="str"/>
      <x:c r="H69" s="41" t="str"/>
      <x:c r="I69" s="41" t="str"/>
      <x:c r="J69" s="41" t="str"/>
      <x:c r="K69" s="41" t="str"/>
      <x:c r="L69" s="41" t="str"/>
      <x:c r="M69" s="41" t="str"/>
      <x:c r="N69" s="41" t="str"/>
      <x:c r="O69" s="41" t="str"/>
      <x:c r="P69" s="41" t="str"/>
      <x:c r="Q69" s="41" t="str"/>
      <x:c r="R69" s="41" t="str"/>
    </x:row>
    <x:row r="70" ht="15" hidden="0" customHeight="1">
      <x:c r="A70" s="38" t="str"/>
      <x:c r="B70" s="38" t="str"/>
      <x:c r="C70" s="38" t="str"/>
      <x:c r="D70" s="38" t="str"/>
      <x:c r="E70" s="38" t="str"/>
      <x:c r="F70" s="38" t="str"/>
      <x:c r="G70" s="38" t="str"/>
      <x:c r="H70" s="41" t="str"/>
      <x:c r="I70" s="41" t="str"/>
      <x:c r="J70" s="41" t="str"/>
      <x:c r="K70" s="41" t="str"/>
      <x:c r="L70" s="41" t="str"/>
      <x:c r="M70" s="41" t="str"/>
      <x:c r="N70" s="41" t="str"/>
      <x:c r="O70" s="41" t="str"/>
      <x:c r="P70" s="41" t="str"/>
      <x:c r="Q70" s="41" t="str"/>
      <x:c r="R70" s="41" t="str"/>
    </x:row>
    <x:row r="71" ht="15" hidden="0" customHeight="1">
      <x:c r="A71" s="38" t="str"/>
      <x:c r="B71" s="38" t="str"/>
      <x:c r="C71" s="38" t="str"/>
      <x:c r="D71" s="38" t="str"/>
      <x:c r="E71" s="38" t="str"/>
      <x:c r="F71" s="38" t="str"/>
      <x:c r="G71" s="38" t="str"/>
      <x:c r="H71" s="41" t="str"/>
      <x:c r="I71" s="41" t="str"/>
      <x:c r="J71" s="41" t="str"/>
      <x:c r="K71" s="41" t="str"/>
      <x:c r="L71" s="41" t="str"/>
      <x:c r="M71" s="41" t="str"/>
      <x:c r="N71" s="41" t="str"/>
      <x:c r="O71" s="41" t="str"/>
      <x:c r="P71" s="41" t="str"/>
      <x:c r="Q71" s="41" t="str"/>
      <x:c r="R71" s="41" t="str"/>
    </x:row>
    <x:row r="72" ht="15" hidden="0" customHeight="1">
      <x:c r="A72" s="38" t="str"/>
      <x:c r="B72" s="38" t="str"/>
      <x:c r="C72" s="38" t="str"/>
      <x:c r="D72" s="38" t="str"/>
      <x:c r="E72" s="38" t="str"/>
      <x:c r="F72" s="38" t="str"/>
      <x:c r="G72" s="38" t="str"/>
      <x:c r="H72" s="41" t="str"/>
      <x:c r="I72" s="41" t="str"/>
      <x:c r="J72" s="41" t="str"/>
      <x:c r="K72" s="41" t="str"/>
      <x:c r="L72" s="41" t="str"/>
      <x:c r="M72" s="41" t="str"/>
      <x:c r="N72" s="41" t="str"/>
      <x:c r="O72" s="41" t="str"/>
      <x:c r="P72" s="41" t="str"/>
      <x:c r="Q72" s="41" t="str"/>
      <x:c r="R72" s="41" t="str"/>
    </x:row>
    <x:row r="73" ht="15" hidden="0" customHeight="1">
      <x:c r="A73" s="38" t="str"/>
      <x:c r="B73" s="38" t="str"/>
      <x:c r="C73" s="38" t="str"/>
      <x:c r="D73" s="38" t="str"/>
      <x:c r="E73" s="38" t="str"/>
      <x:c r="F73" s="38" t="str"/>
      <x:c r="G73" s="38" t="str"/>
      <x:c r="H73" s="41" t="str"/>
      <x:c r="I73" s="41" t="str"/>
      <x:c r="J73" s="41" t="str"/>
      <x:c r="K73" s="41" t="str"/>
      <x:c r="L73" s="41" t="str"/>
      <x:c r="M73" s="41" t="str"/>
      <x:c r="N73" s="41" t="str"/>
      <x:c r="O73" s="41" t="str"/>
      <x:c r="P73" s="41" t="str"/>
      <x:c r="Q73" s="41" t="str"/>
      <x:c r="R73" s="41" t="str"/>
    </x:row>
    <x:row r="74" ht="15" hidden="0" customHeight="1">
      <x:c r="A74" s="38" t="str"/>
      <x:c r="B74" s="38" t="str"/>
      <x:c r="C74" s="38" t="str"/>
      <x:c r="D74" s="38" t="str"/>
      <x:c r="E74" s="38" t="str"/>
      <x:c r="F74" s="38" t="str"/>
      <x:c r="G74" s="38" t="str"/>
      <x:c r="H74" s="41" t="str"/>
      <x:c r="I74" s="41" t="str"/>
      <x:c r="J74" s="41" t="str"/>
      <x:c r="K74" s="41" t="str"/>
      <x:c r="L74" s="41" t="str"/>
      <x:c r="M74" s="41" t="str"/>
      <x:c r="N74" s="41" t="str"/>
      <x:c r="O74" s="41" t="str"/>
      <x:c r="P74" s="41" t="str"/>
      <x:c r="Q74" s="41" t="str"/>
      <x:c r="R74" s="41" t="str"/>
    </x:row>
    <x:row r="75" ht="15" hidden="0" customHeight="1">
      <x:c r="A75" s="38" t="str"/>
      <x:c r="B75" s="38" t="str"/>
      <x:c r="C75" s="38" t="str"/>
      <x:c r="D75" s="38" t="str"/>
      <x:c r="E75" s="38" t="str"/>
      <x:c r="F75" s="38" t="str"/>
      <x:c r="G75" s="38" t="str"/>
      <x:c r="H75" s="41" t="str"/>
      <x:c r="I75" s="41" t="str"/>
      <x:c r="J75" s="41" t="str"/>
      <x:c r="K75" s="41" t="str"/>
      <x:c r="L75" s="41" t="str"/>
      <x:c r="M75" s="41" t="str"/>
      <x:c r="N75" s="41" t="str"/>
      <x:c r="O75" s="41" t="str"/>
      <x:c r="P75" s="41" t="str"/>
      <x:c r="Q75" s="41" t="str"/>
      <x:c r="R75" s="41" t="str"/>
    </x:row>
    <x:row r="76" ht="15" hidden="0" customHeight="1">
      <x:c r="A76" s="38" t="str"/>
      <x:c r="B76" s="38" t="str"/>
      <x:c r="C76" s="38" t="str"/>
      <x:c r="D76" s="38" t="str"/>
      <x:c r="E76" s="38" t="str"/>
      <x:c r="F76" s="38" t="str"/>
      <x:c r="G76" s="38" t="str"/>
      <x:c r="H76" s="41" t="str"/>
      <x:c r="I76" s="41" t="str"/>
      <x:c r="J76" s="41" t="str"/>
      <x:c r="K76" s="41" t="str"/>
      <x:c r="L76" s="41" t="str"/>
      <x:c r="M76" s="41" t="str"/>
      <x:c r="N76" s="41" t="str"/>
      <x:c r="O76" s="41" t="str"/>
      <x:c r="P76" s="41" t="str"/>
      <x:c r="Q76" s="41" t="str"/>
      <x:c r="R76" s="41" t="str"/>
    </x:row>
    <x:row r="77" ht="15" hidden="0" customHeight="1">
      <x:c r="A77" s="38" t="str"/>
      <x:c r="B77" s="38" t="str"/>
      <x:c r="C77" s="38" t="str"/>
      <x:c r="D77" s="38" t="str"/>
      <x:c r="E77" s="38" t="str"/>
      <x:c r="F77" s="38" t="str"/>
      <x:c r="G77" s="38" t="str"/>
      <x:c r="H77" s="41" t="str"/>
      <x:c r="I77" s="41" t="str"/>
      <x:c r="J77" s="41" t="str"/>
      <x:c r="K77" s="41" t="str"/>
      <x:c r="L77" s="41" t="str"/>
      <x:c r="M77" s="41" t="str"/>
      <x:c r="N77" s="41" t="str"/>
      <x:c r="O77" s="41" t="str"/>
      <x:c r="P77" s="41" t="str"/>
      <x:c r="Q77" s="41" t="str"/>
      <x:c r="R77" s="41" t="str"/>
    </x:row>
    <x:row r="78" ht="15" hidden="0" customHeight="1">
      <x:c r="A78" s="38" t="str"/>
      <x:c r="B78" s="38" t="str"/>
      <x:c r="C78" s="38" t="str"/>
      <x:c r="D78" s="38" t="str"/>
      <x:c r="E78" s="38" t="str"/>
      <x:c r="F78" s="38" t="str"/>
      <x:c r="G78" s="38" t="str"/>
      <x:c r="H78" s="41" t="str"/>
      <x:c r="I78" s="41" t="str"/>
      <x:c r="J78" s="41" t="str"/>
      <x:c r="K78" s="41" t="str"/>
      <x:c r="L78" s="41" t="str"/>
      <x:c r="M78" s="41" t="str"/>
      <x:c r="N78" s="41" t="str"/>
      <x:c r="O78" s="41" t="str"/>
      <x:c r="P78" s="41" t="str"/>
      <x:c r="Q78" s="41" t="str"/>
      <x:c r="R78" s="41" t="str"/>
    </x:row>
    <x:row r="79" ht="15" hidden="0" customHeight="1">
      <x:c r="A79" s="38" t="str"/>
      <x:c r="B79" s="38" t="str"/>
      <x:c r="C79" s="38" t="str"/>
      <x:c r="D79" s="38" t="str"/>
      <x:c r="E79" s="38" t="str"/>
      <x:c r="F79" s="38" t="str"/>
      <x:c r="G79" s="38" t="str"/>
      <x:c r="H79" s="41" t="str"/>
      <x:c r="I79" s="41" t="str"/>
      <x:c r="J79" s="41" t="str"/>
      <x:c r="K79" s="41" t="str"/>
      <x:c r="L79" s="41" t="str"/>
      <x:c r="M79" s="41" t="str"/>
      <x:c r="N79" s="41" t="str"/>
      <x:c r="O79" s="41" t="str"/>
      <x:c r="P79" s="41" t="str"/>
      <x:c r="Q79" s="41" t="str"/>
      <x:c r="R79" s="41" t="str"/>
    </x:row>
    <x:row r="80" ht="15" hidden="0" customHeight="1">
      <x:c r="A80" s="38" t="str"/>
      <x:c r="B80" s="38" t="str"/>
      <x:c r="C80" s="38" t="str"/>
      <x:c r="D80" s="38" t="str"/>
      <x:c r="E80" s="38" t="str"/>
      <x:c r="F80" s="38" t="str"/>
      <x:c r="G80" s="38" t="str"/>
      <x:c r="H80" s="41" t="str"/>
      <x:c r="I80" s="41" t="str"/>
      <x:c r="J80" s="41" t="str"/>
      <x:c r="K80" s="41" t="str"/>
      <x:c r="L80" s="41" t="str"/>
      <x:c r="M80" s="41" t="str"/>
      <x:c r="N80" s="41" t="str"/>
      <x:c r="O80" s="41" t="str"/>
      <x:c r="P80" s="41" t="str"/>
      <x:c r="Q80" s="41" t="str"/>
      <x:c r="R80" s="41" t="str"/>
    </x:row>
    <x:row r="81" ht="15" hidden="0" customHeight="1">
      <x:c r="A81" s="38" t="str"/>
      <x:c r="B81" s="38" t="str"/>
      <x:c r="C81" s="38" t="str"/>
      <x:c r="D81" s="38" t="str"/>
      <x:c r="E81" s="38" t="str"/>
      <x:c r="F81" s="38" t="str"/>
      <x:c r="G81" s="38" t="str"/>
      <x:c r="H81" s="41" t="str"/>
      <x:c r="I81" s="41" t="str"/>
      <x:c r="J81" s="41" t="str"/>
      <x:c r="K81" s="41" t="str"/>
      <x:c r="L81" s="41" t="str"/>
      <x:c r="M81" s="41" t="str"/>
      <x:c r="N81" s="41" t="str"/>
      <x:c r="O81" s="41" t="str"/>
      <x:c r="P81" s="41" t="str"/>
      <x:c r="Q81" s="41" t="str"/>
      <x:c r="R81" s="41" t="str"/>
    </x:row>
    <x:row r="82" ht="15" hidden="0" customHeight="1">
      <x:c r="A82" s="38" t="str"/>
      <x:c r="B82" s="38" t="str"/>
      <x:c r="C82" s="38" t="str"/>
      <x:c r="D82" s="38" t="str"/>
      <x:c r="E82" s="38" t="str"/>
      <x:c r="F82" s="38" t="str"/>
      <x:c r="G82" s="38" t="str"/>
      <x:c r="H82" s="41" t="str"/>
      <x:c r="I82" s="41" t="str"/>
      <x:c r="J82" s="41" t="str"/>
      <x:c r="K82" s="41" t="str"/>
      <x:c r="L82" s="41" t="str"/>
      <x:c r="M82" s="41" t="str"/>
      <x:c r="N82" s="41" t="str"/>
      <x:c r="O82" s="41" t="str"/>
      <x:c r="P82" s="41" t="str"/>
      <x:c r="Q82" s="41" t="str"/>
      <x:c r="R82" s="41" t="str"/>
    </x:row>
    <x:row r="83" ht="15" hidden="0" customHeight="1">
      <x:c r="A83" s="38" t="str"/>
      <x:c r="B83" s="38" t="str"/>
      <x:c r="C83" s="38" t="str"/>
      <x:c r="D83" s="38" t="str"/>
      <x:c r="E83" s="38" t="str"/>
      <x:c r="F83" s="38" t="str"/>
      <x:c r="G83" s="38" t="str"/>
      <x:c r="H83" s="41" t="str"/>
      <x:c r="I83" s="41" t="str"/>
      <x:c r="J83" s="41" t="str"/>
      <x:c r="K83" s="41" t="str"/>
      <x:c r="L83" s="41" t="str"/>
      <x:c r="M83" s="41" t="str"/>
      <x:c r="N83" s="41" t="str"/>
      <x:c r="O83" s="41" t="str"/>
      <x:c r="P83" s="41" t="str"/>
      <x:c r="Q83" s="41" t="str"/>
      <x:c r="R83" s="41" t="str"/>
    </x:row>
    <x:row r="84" ht="15" hidden="0" customHeight="1">
      <x:c r="A84" s="38" t="str"/>
      <x:c r="B84" s="38" t="str"/>
      <x:c r="C84" s="38" t="str"/>
      <x:c r="D84" s="38" t="str"/>
      <x:c r="E84" s="38" t="str"/>
      <x:c r="F84" s="38" t="str"/>
      <x:c r="G84" s="38" t="str"/>
      <x:c r="H84" s="41" t="str"/>
      <x:c r="I84" s="41" t="str"/>
      <x:c r="J84" s="41" t="str"/>
      <x:c r="K84" s="41" t="str"/>
      <x:c r="L84" s="41" t="str"/>
      <x:c r="M84" s="41" t="str"/>
      <x:c r="N84" s="41" t="str"/>
      <x:c r="O84" s="41" t="str"/>
      <x:c r="P84" s="41" t="str"/>
      <x:c r="Q84" s="41" t="str"/>
      <x:c r="R84" s="41" t="str"/>
    </x:row>
    <x:row r="85" ht="15" hidden="0" customHeight="1">
      <x:c r="A85" s="38" t="str"/>
      <x:c r="B85" s="38" t="str"/>
      <x:c r="C85" s="38" t="str"/>
      <x:c r="D85" s="38" t="str"/>
      <x:c r="E85" s="38" t="str"/>
      <x:c r="F85" s="38" t="str"/>
      <x:c r="G85" s="38" t="str"/>
      <x:c r="H85" s="41" t="str"/>
      <x:c r="I85" s="41" t="str"/>
      <x:c r="J85" s="41" t="str"/>
      <x:c r="K85" s="41" t="str"/>
      <x:c r="L85" s="41" t="str"/>
      <x:c r="M85" s="41" t="str"/>
      <x:c r="N85" s="41" t="str"/>
      <x:c r="O85" s="41" t="str"/>
      <x:c r="P85" s="41" t="str"/>
      <x:c r="Q85" s="41" t="str"/>
      <x:c r="R85" s="41" t="str"/>
    </x:row>
    <x:row r="86" ht="15" hidden="0" customHeight="1">
      <x:c r="A86" s="38" t="str"/>
      <x:c r="B86" s="38" t="str"/>
      <x:c r="C86" s="38" t="str"/>
      <x:c r="D86" s="38" t="str"/>
      <x:c r="E86" s="38" t="str"/>
      <x:c r="F86" s="38" t="str"/>
      <x:c r="G86" s="38" t="str"/>
      <x:c r="H86" s="41" t="str"/>
      <x:c r="I86" s="41" t="str"/>
      <x:c r="J86" s="41" t="str"/>
      <x:c r="K86" s="41" t="str"/>
      <x:c r="L86" s="41" t="str"/>
      <x:c r="M86" s="41" t="str"/>
      <x:c r="N86" s="41" t="str"/>
      <x:c r="O86" s="41" t="str"/>
      <x:c r="P86" s="41" t="str"/>
      <x:c r="Q86" s="41" t="str"/>
      <x:c r="R86" s="41" t="str"/>
    </x:row>
    <x:row r="87" ht="15" hidden="0" customHeight="1">
      <x:c r="A87" s="38" t="str"/>
      <x:c r="B87" s="38" t="str"/>
      <x:c r="C87" s="38" t="str"/>
      <x:c r="D87" s="38" t="str"/>
      <x:c r="E87" s="38" t="str"/>
      <x:c r="F87" s="38" t="str"/>
      <x:c r="G87" s="38" t="str"/>
      <x:c r="H87" s="41" t="str"/>
      <x:c r="I87" s="41" t="str"/>
      <x:c r="J87" s="41" t="str"/>
      <x:c r="K87" s="41" t="str"/>
      <x:c r="L87" s="41" t="str"/>
      <x:c r="M87" s="41" t="str"/>
      <x:c r="N87" s="41" t="str"/>
      <x:c r="O87" s="41" t="str"/>
      <x:c r="P87" s="41" t="str"/>
      <x:c r="Q87" s="41" t="str"/>
      <x:c r="R87" s="41" t="str"/>
    </x:row>
    <x:row r="88" ht="15" hidden="0" customHeight="1">
      <x:c r="A88" s="38" t="str"/>
      <x:c r="B88" s="38" t="str"/>
      <x:c r="C88" s="38" t="str"/>
      <x:c r="D88" s="38" t="str"/>
      <x:c r="E88" s="38" t="str"/>
      <x:c r="F88" s="38" t="str"/>
      <x:c r="G88" s="38" t="str"/>
      <x:c r="H88" s="41" t="str"/>
      <x:c r="I88" s="41" t="str"/>
      <x:c r="J88" s="41" t="str"/>
      <x:c r="K88" s="41" t="str"/>
      <x:c r="L88" s="41" t="str"/>
      <x:c r="M88" s="41" t="str"/>
      <x:c r="N88" s="41" t="str"/>
      <x:c r="O88" s="41" t="str"/>
      <x:c r="P88" s="41" t="str"/>
      <x:c r="Q88" s="41" t="str"/>
      <x:c r="R88" s="41" t="str"/>
    </x:row>
    <x:row r="89" ht="15" hidden="0" customHeight="1">
      <x:c r="A89" s="38" t="str"/>
      <x:c r="B89" s="38" t="str"/>
      <x:c r="C89" s="38" t="str"/>
      <x:c r="D89" s="38" t="str"/>
      <x:c r="E89" s="38" t="str"/>
      <x:c r="F89" s="38" t="str"/>
      <x:c r="G89" s="38" t="str"/>
      <x:c r="H89" s="41" t="str"/>
      <x:c r="I89" s="41" t="str"/>
      <x:c r="J89" s="41" t="str"/>
      <x:c r="K89" s="41" t="str"/>
      <x:c r="L89" s="41" t="str"/>
      <x:c r="M89" s="41" t="str"/>
      <x:c r="N89" s="41" t="str"/>
      <x:c r="O89" s="41" t="str"/>
      <x:c r="P89" s="41" t="str"/>
      <x:c r="Q89" s="41" t="str"/>
      <x:c r="R89" s="41" t="str"/>
    </x:row>
    <x:row r="90" ht="15" hidden="0" customHeight="1">
      <x:c r="A90" s="38" t="str"/>
      <x:c r="B90" s="38" t="str"/>
      <x:c r="C90" s="38" t="str"/>
      <x:c r="D90" s="38" t="str"/>
      <x:c r="E90" s="38" t="str"/>
      <x:c r="F90" s="38" t="str"/>
      <x:c r="G90" s="38" t="str"/>
      <x:c r="H90" s="41" t="str"/>
      <x:c r="I90" s="41" t="str"/>
      <x:c r="J90" s="41" t="str"/>
      <x:c r="K90" s="41" t="str"/>
      <x:c r="L90" s="41" t="str"/>
      <x:c r="M90" s="41" t="str"/>
      <x:c r="N90" s="41" t="str"/>
      <x:c r="O90" s="41" t="str"/>
      <x:c r="P90" s="41" t="str"/>
      <x:c r="Q90" s="41" t="str"/>
      <x:c r="R90" s="41" t="str"/>
    </x:row>
    <x:row r="91" ht="15" hidden="0" customHeight="1">
      <x:c r="A91" s="38" t="str"/>
      <x:c r="B91" s="38" t="str"/>
      <x:c r="C91" s="38" t="str"/>
      <x:c r="D91" s="38" t="str"/>
      <x:c r="E91" s="38" t="str"/>
      <x:c r="F91" s="38" t="str"/>
      <x:c r="G91" s="38" t="str"/>
      <x:c r="H91" s="41" t="str"/>
      <x:c r="I91" s="41" t="str"/>
      <x:c r="J91" s="41" t="str"/>
      <x:c r="K91" s="41" t="str"/>
      <x:c r="L91" s="41" t="str"/>
      <x:c r="M91" s="41" t="str"/>
      <x:c r="N91" s="41" t="str"/>
      <x:c r="O91" s="41" t="str"/>
      <x:c r="P91" s="41" t="str"/>
      <x:c r="Q91" s="41" t="str"/>
      <x:c r="R91" s="41" t="str"/>
    </x:row>
    <x:row r="92" ht="15" hidden="0" customHeight="1">
      <x:c r="A92" s="38" t="str"/>
      <x:c r="B92" s="38" t="str"/>
      <x:c r="C92" s="38" t="str"/>
      <x:c r="D92" s="38" t="str"/>
      <x:c r="E92" s="38" t="str"/>
      <x:c r="F92" s="38" t="str"/>
      <x:c r="G92" s="38" t="str"/>
      <x:c r="H92" s="41" t="str"/>
      <x:c r="I92" s="41" t="str"/>
      <x:c r="J92" s="41" t="str"/>
      <x:c r="K92" s="41" t="str"/>
      <x:c r="L92" s="41" t="str"/>
      <x:c r="M92" s="41" t="str"/>
      <x:c r="N92" s="41" t="str"/>
      <x:c r="O92" s="41" t="str"/>
      <x:c r="P92" s="41" t="str"/>
      <x:c r="Q92" s="41" t="str"/>
      <x:c r="R92" s="41" t="str"/>
    </x:row>
    <x:row r="93" ht="15" hidden="0" customHeight="1">
      <x:c r="A93" s="38" t="str"/>
      <x:c r="B93" s="38" t="str"/>
      <x:c r="C93" s="38" t="str"/>
      <x:c r="D93" s="38" t="str"/>
      <x:c r="E93" s="38" t="str"/>
      <x:c r="F93" s="38" t="str"/>
      <x:c r="G93" s="38" t="str"/>
      <x:c r="H93" s="41" t="str"/>
      <x:c r="I93" s="41" t="str"/>
      <x:c r="J93" s="41" t="str"/>
      <x:c r="K93" s="41" t="str"/>
      <x:c r="L93" s="41" t="str"/>
      <x:c r="M93" s="41" t="str"/>
      <x:c r="N93" s="41" t="str"/>
      <x:c r="O93" s="41" t="str"/>
      <x:c r="P93" s="41" t="str"/>
      <x:c r="Q93" s="41" t="str"/>
      <x:c r="R93" s="41" t="str"/>
    </x:row>
    <x:row r="94" ht="15" hidden="0" customHeight="1">
      <x:c r="A94" s="38" t="str"/>
      <x:c r="B94" s="38" t="str"/>
      <x:c r="C94" s="38" t="str"/>
      <x:c r="D94" s="38" t="str"/>
      <x:c r="E94" s="38" t="str"/>
      <x:c r="F94" s="38" t="str"/>
      <x:c r="G94" s="38" t="str"/>
      <x:c r="H94" s="41" t="str"/>
      <x:c r="I94" s="41" t="str"/>
      <x:c r="J94" s="41" t="str"/>
      <x:c r="K94" s="41" t="str"/>
      <x:c r="L94" s="41" t="str"/>
      <x:c r="M94" s="41" t="str"/>
      <x:c r="N94" s="41" t="str"/>
      <x:c r="O94" s="41" t="str"/>
      <x:c r="P94" s="41" t="str"/>
      <x:c r="Q94" s="41" t="str"/>
      <x:c r="R94" s="41" t="str"/>
    </x:row>
    <x:row r="95" ht="15" hidden="0" customHeight="1">
      <x:c r="A95" s="38" t="str"/>
      <x:c r="B95" s="38" t="str"/>
      <x:c r="C95" s="38" t="str"/>
      <x:c r="D95" s="38" t="str"/>
      <x:c r="E95" s="38" t="str"/>
      <x:c r="F95" s="38" t="str"/>
      <x:c r="G95" s="38" t="str"/>
      <x:c r="H95" s="41" t="str"/>
      <x:c r="I95" s="41" t="str"/>
      <x:c r="J95" s="41" t="str"/>
      <x:c r="K95" s="41" t="str"/>
      <x:c r="L95" s="41" t="str"/>
      <x:c r="M95" s="41" t="str"/>
      <x:c r="N95" s="41" t="str"/>
      <x:c r="O95" s="41" t="str"/>
      <x:c r="P95" s="41" t="str"/>
      <x:c r="Q95" s="41" t="str"/>
      <x:c r="R95" s="41" t="str"/>
    </x:row>
    <x:row r="96" ht="15" hidden="0" customHeight="1">
      <x:c r="A96" s="38" t="str"/>
      <x:c r="B96" s="38" t="str"/>
      <x:c r="C96" s="38" t="str"/>
      <x:c r="D96" s="38" t="str"/>
      <x:c r="E96" s="38" t="str"/>
      <x:c r="F96" s="38" t="str"/>
      <x:c r="G96" s="38" t="str"/>
      <x:c r="H96" s="41" t="str"/>
      <x:c r="I96" s="41" t="str"/>
      <x:c r="J96" s="41" t="str"/>
      <x:c r="K96" s="41" t="str"/>
      <x:c r="L96" s="41" t="str"/>
      <x:c r="M96" s="41" t="str"/>
      <x:c r="N96" s="41" t="str"/>
      <x:c r="O96" s="41" t="str"/>
      <x:c r="P96" s="41" t="str"/>
      <x:c r="Q96" s="41" t="str"/>
      <x:c r="R96" s="41" t="str"/>
    </x:row>
    <x:row r="97" ht="15" hidden="0" customHeight="1">
      <x:c r="A97" s="38" t="str"/>
      <x:c r="B97" s="38" t="str"/>
      <x:c r="C97" s="38" t="str"/>
      <x:c r="D97" s="38" t="str"/>
      <x:c r="E97" s="38" t="str"/>
      <x:c r="F97" s="38" t="str"/>
      <x:c r="G97" s="38" t="str"/>
      <x:c r="H97" s="41" t="str"/>
      <x:c r="I97" s="41" t="str"/>
      <x:c r="J97" s="41" t="str"/>
      <x:c r="K97" s="41" t="str"/>
      <x:c r="L97" s="41" t="str"/>
      <x:c r="M97" s="41" t="str"/>
      <x:c r="N97" s="41" t="str"/>
      <x:c r="O97" s="41" t="str"/>
      <x:c r="P97" s="41" t="str"/>
      <x:c r="Q97" s="41" t="str"/>
      <x:c r="R97" s="41" t="str"/>
    </x:row>
    <x:row r="98" ht="15" hidden="0" customHeight="1">
      <x:c r="A98" s="38" t="str"/>
      <x:c r="B98" s="38" t="str"/>
      <x:c r="C98" s="38" t="str"/>
      <x:c r="D98" s="38" t="str"/>
      <x:c r="E98" s="38" t="str"/>
      <x:c r="F98" s="38" t="str"/>
      <x:c r="G98" s="38" t="str"/>
      <x:c r="H98" s="41" t="str"/>
      <x:c r="I98" s="41" t="str"/>
      <x:c r="J98" s="41" t="str"/>
      <x:c r="K98" s="41" t="str"/>
      <x:c r="L98" s="41" t="str"/>
      <x:c r="M98" s="41" t="str"/>
      <x:c r="N98" s="41" t="str"/>
      <x:c r="O98" s="41" t="str"/>
      <x:c r="P98" s="41" t="str"/>
      <x:c r="Q98" s="41" t="str"/>
      <x:c r="R98" s="41" t="str"/>
    </x:row>
    <x:row r="99" ht="15" hidden="0" customHeight="1">
      <x:c r="A99" s="38" t="str"/>
      <x:c r="B99" s="38" t="str"/>
      <x:c r="C99" s="38" t="str"/>
      <x:c r="D99" s="38" t="str"/>
      <x:c r="E99" s="38" t="str"/>
      <x:c r="F99" s="38" t="str"/>
      <x:c r="G99" s="38" t="str"/>
      <x:c r="H99" s="41" t="str"/>
      <x:c r="I99" s="41" t="str"/>
      <x:c r="J99" s="41" t="str"/>
      <x:c r="K99" s="41" t="str"/>
      <x:c r="L99" s="41" t="str"/>
      <x:c r="M99" s="41" t="str"/>
      <x:c r="N99" s="41" t="str"/>
      <x:c r="O99" s="41" t="str"/>
      <x:c r="P99" s="41" t="str"/>
      <x:c r="Q99" s="41" t="str"/>
      <x:c r="R99" s="41" t="str"/>
    </x:row>
    <x:row r="100" ht="15" hidden="0" customHeight="1">
      <x:c r="A100" s="38" t="str"/>
      <x:c r="B100" s="38" t="str"/>
      <x:c r="C100" s="38" t="str"/>
      <x:c r="D100" s="38" t="str"/>
      <x:c r="E100" s="38" t="str"/>
      <x:c r="F100" s="38" t="str"/>
      <x:c r="G100" s="38" t="str"/>
      <x:c r="H100" s="41" t="str"/>
      <x:c r="I100" s="41" t="str"/>
      <x:c r="J100" s="41" t="str"/>
      <x:c r="K100" s="41" t="str"/>
      <x:c r="L100" s="41" t="str"/>
      <x:c r="M100" s="41" t="str"/>
      <x:c r="N100" s="41" t="str"/>
      <x:c r="O100" s="41" t="str"/>
      <x:c r="P100" s="41" t="str"/>
      <x:c r="Q100" s="41" t="str"/>
      <x:c r="R100" s="41" t="str"/>
    </x:row>
    <x:row r="101" ht="15" hidden="0" customHeight="1">
      <x:c r="A101" s="38" t="str"/>
      <x:c r="B101" s="38" t="str"/>
      <x:c r="C101" s="38" t="str"/>
      <x:c r="D101" s="38" t="str"/>
      <x:c r="E101" s="38" t="str"/>
      <x:c r="F101" s="38" t="str"/>
      <x:c r="G101" s="38" t="str"/>
      <x:c r="H101" s="41" t="str"/>
      <x:c r="I101" s="41" t="str"/>
      <x:c r="J101" s="41" t="str"/>
      <x:c r="K101" s="41" t="str"/>
      <x:c r="L101" s="41" t="str"/>
      <x:c r="M101" s="41" t="str"/>
      <x:c r="N101" s="41" t="str"/>
      <x:c r="O101" s="41" t="str"/>
      <x:c r="P101" s="41" t="str"/>
      <x:c r="Q101" s="41" t="str"/>
      <x:c r="R101" s="41" t="str"/>
    </x:row>
  </x:sheetData>
  <x:conditionalFormatting sqref="F2:F101">
    <x:cfRule type="expression" dxfId="4" priority="1">
      <x:formula>F2="CRITICAL"</x:formula>
    </x:cfRule>
    <x:cfRule type="expression" dxfId="5" priority="2">
      <x:formula>F2="MAJOR"</x:formula>
    </x:cfRule>
  </x:conditionalFormatting>
  <x:dataValidations count="2">
    <x:dataValidation type="list" sqref="F2:F101">
      <x:formula1>"CRITICAL,MAJOR,MODERATE,MINOR,PREFERENCE"</x:formula1>
    </x:dataValidation>
    <x:dataValidation type="list" sqref="P2:P101">
      <x:formula1>"OPEN,CONFIRMED,DUPLICATE,FIXED,REJECTED"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577980483f44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0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4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</x:cols>
  <x:sheetData>
    <x:row r="1" ht="15" hidden="0" customHeight="1">
      <x:c r="A1" s="37" t="str">
        <x:v>priority</x:v>
      </x:c>
      <x:c r="B1" s="37" t="str">
        <x:v>section</x:v>
      </x:c>
      <x:c r="C1" s="37" t="str">
        <x:v>key</x:v>
      </x:c>
      <x:c r="D1" s="37" t="str">
        <x:v>name_ru</x:v>
      </x:c>
      <x:c r="E1" s="37" t="str">
        <x:v>category</x:v>
      </x:c>
      <x:c r="F1" s="37" t="str">
        <x:v>state</x:v>
      </x:c>
      <x:c r="G1" s="37" t="str">
        <x:v>confidence_tier</x:v>
      </x:c>
      <x:c r="H1" s="37" t="str">
        <x:v>confidence_score</x:v>
      </x:c>
      <x:c r="I1" s="37" t="str">
        <x:v>review_status</x:v>
      </x:c>
      <x:c r="J1" s="37" t="str">
        <x:v>source_kind</x:v>
      </x:c>
      <x:c r="K1" s="37" t="str">
        <x:v>source_id</x:v>
      </x:c>
      <x:c r="L1" s="37" t="str">
        <x:v>source_dataset</x:v>
      </x:c>
      <x:c r="M1" s="37" t="str">
        <x:v>source_version</x:v>
      </x:c>
      <x:c r="N1" s="37" t="str">
        <x:v>source_url</x:v>
      </x:c>
      <x:c r="O1" s="37" t="str">
        <x:v>assumed_zero_count</x:v>
      </x:c>
      <x:c r="P1" s="37" t="str">
        <x:v>unknown_zero_fields</x:v>
      </x:c>
      <x:c r="Q1" s="37" t="str">
        <x:v>kcal</x:v>
      </x:c>
      <x:c r="R1" s="37" t="str">
        <x:v>protein_g</x:v>
      </x:c>
      <x:c r="S1" s="37" t="str">
        <x:v>fat_g</x:v>
      </x:c>
      <x:c r="T1" s="37" t="str">
        <x:v>carbs_g</x:v>
      </x:c>
      <x:c r="U1" s="37" t="str">
        <x:v>fiber_g</x:v>
      </x:c>
      <x:c r="V1" s="37" t="str">
        <x:v>sodium_mg</x:v>
      </x:c>
      <x:c r="W1" s="37" t="str">
        <x:v>salt_g</x:v>
      </x:c>
      <x:c r="X1" s="37" t="str">
        <x:v>selection_reason</x:v>
      </x:c>
      <x:c r="Y1" s="37" t="str">
        <x:v>identity_state_check</x:v>
      </x:c>
      <x:c r="Z1" s="37" t="str">
        <x:v>source_match_check</x:v>
      </x:c>
      <x:c r="AA1" s="37" t="str">
        <x:v>macros_energy_check</x:v>
      </x:c>
      <x:c r="AB1" s="37" t="str">
        <x:v>sodium_salt_check</x:v>
      </x:c>
      <x:c r="AC1" s="37" t="str">
        <x:v>micronutrients_check</x:v>
      </x:c>
      <x:c r="AD1" s="37" t="str">
        <x:v>zero_semantics_check</x:v>
      </x:c>
      <x:c r="AE1" s="37" t="str">
        <x:v>hei_equivalents_check</x:v>
      </x:c>
      <x:c r="AF1" s="37" t="str">
        <x:v>duplicates_search_check</x:v>
      </x:c>
      <x:c r="AG1" s="37" t="str">
        <x:v>audit_status</x:v>
      </x:c>
      <x:c r="AH1" s="37" t="str">
        <x:v>auditor</x:v>
      </x:c>
      <x:c r="AI1" s="37" t="str">
        <x:v>audit_date</x:v>
      </x:c>
      <x:c r="AJ1" s="37" t="str">
        <x:v>issues</x:v>
      </x:c>
      <x:c r="AK1" s="37" t="str">
        <x:v>decision</x:v>
      </x:c>
      <x:c r="AL1" s="37" t="str">
        <x:v>replacement_source_url</x:v>
      </x:c>
    </x:row>
    <x:row r="2" ht="108" hidden="0" customHeight="1">
      <x:c r="A2" s="38" t="str">
        <x:v>1</x:v>
      </x:c>
      <x:c r="B2" s="38" t="str">
        <x:v>Крупы, хлеб и крахмалистые продукты</x:v>
      </x:c>
      <x:c r="C2" s="41" t="str">
        <x:v>buckwheat_cooked</x:v>
      </x:c>
      <x:c r="D2" s="41" t="str">
        <x:v>Гречка-ядрица обжаренная, варёная</x:v>
      </x:c>
      <x:c r="E2" s="41" t="str">
        <x:v>Whole Grains</x:v>
      </x:c>
      <x:c r="F2" s="41" t="str">
        <x:v>prepared</x:v>
      </x:c>
      <x:c r="G2" s="38" t="str">
        <x:v>HIGH</x:v>
      </x:c>
      <x:c r="H2" s="38" t="str">
        <x:v>0.98</x:v>
      </x:c>
      <x:c r="I2" s="38" t="str">
        <x:v>VERIFIED</x:v>
      </x:c>
      <x:c r="J2" s="41" t="str">
        <x:v>PRIMARY_DATASET</x:v>
      </x:c>
      <x:c r="K2" s="41" t="str">
        <x:v>USDA_FDC_SR:170686</x:v>
      </x:c>
      <x:c r="L2" s="41" t="str">
        <x:v>USDA_FDC_SR_LEGACY_2018</x:v>
      </x:c>
      <x:c r="M2" s="41" t="str">
        <x:v>SR Legacy 04/2018</x:v>
      </x:c>
      <x:c r="N2" s="41" t="str">
        <x:v>https://fdc.nal.usda.gov/fdc-app.html#/food-details/170686/nutrients</x:v>
      </x:c>
      <x:c r="O2" s="41" t="str">
        <x:v>0</x:v>
      </x:c>
      <x:c r="P2" s="41" t="str"/>
      <x:c r="Q2" s="41" t="str">
        <x:v>92.0</x:v>
      </x:c>
      <x:c r="R2" s="41" t="str">
        <x:v>3.38</x:v>
      </x:c>
      <x:c r="S2" s="41" t="str">
        <x:v>0.62</x:v>
      </x:c>
      <x:c r="T2" s="41" t="str">
        <x:v>19.9</x:v>
      </x:c>
      <x:c r="U2" s="41" t="str">
        <x:v>2.7</x:v>
      </x:c>
      <x:c r="V2" s="41" t="str">
        <x:v>4.0</x:v>
      </x:c>
      <x:c r="W2" s="41" t="str">
        <x:v>0.0102</x:v>
      </x:c>
      <x:c r="X2" s="41" t="str">
        <x:v>повседневный базовый продукт; проверить корректность состояния продукта</x:v>
      </x:c>
      <x:c r="Y2" s="38" t="str">
        <x:v>NOT_REVIEWED</x:v>
      </x:c>
      <x:c r="Z2" s="38" t="str">
        <x:v>NOT_REVIEWED</x:v>
      </x:c>
      <x:c r="AA2" s="38" t="str">
        <x:v>NOT_REVIEWED</x:v>
      </x:c>
      <x:c r="AB2" s="38" t="str">
        <x:v>NOT_REVIEWED</x:v>
      </x:c>
      <x:c r="AC2" s="38" t="str">
        <x:v>NOT_REVIEWED</x:v>
      </x:c>
      <x:c r="AD2" s="38" t="str">
        <x:v>NOT_REVIEWED</x:v>
      </x:c>
      <x:c r="AE2" s="38" t="str">
        <x:v>NOT_REVIEWED</x:v>
      </x:c>
      <x:c r="AF2" s="38" t="str">
        <x:v>NOT_REVIEWED</x:v>
      </x:c>
      <x:c r="AG2" s="38" t="str">
        <x:v>NOT_REVIEWED</x:v>
      </x:c>
      <x:c r="AH2" s="41" t="str"/>
      <x:c r="AI2" s="41" t="str"/>
      <x:c r="AJ2" s="41" t="str"/>
      <x:c r="AK2" s="41" t="str"/>
      <x:c r="AL2" s="41" t="str"/>
    </x:row>
    <x:row r="3" ht="108" hidden="0" customHeight="1">
      <x:c r="A3" s="38" t="str">
        <x:v>2</x:v>
      </x:c>
      <x:c r="B3" s="38" t="str">
        <x:v>Крупы, хлеб и крахмалистые продукты</x:v>
      </x:c>
      <x:c r="C3" s="41" t="str">
        <x:v>buckwheat</x:v>
      </x:c>
      <x:c r="D3" s="41" t="str">
        <x:v>Гречка-ядрица обжаренная, сухая</x:v>
      </x:c>
      <x:c r="E3" s="41" t="str">
        <x:v>Whole Grains</x:v>
      </x:c>
      <x:c r="F3" s="41" t="str">
        <x:v>dry</x:v>
      </x:c>
      <x:c r="G3" s="38" t="str">
        <x:v>HIGH</x:v>
      </x:c>
      <x:c r="H3" s="38" t="str">
        <x:v>0.98</x:v>
      </x:c>
      <x:c r="I3" s="38" t="str">
        <x:v>VERIFIED</x:v>
      </x:c>
      <x:c r="J3" s="41" t="str">
        <x:v>PRIMARY_DATASET</x:v>
      </x:c>
      <x:c r="K3" s="41" t="str">
        <x:v>USDA_FDC_SR:170685</x:v>
      </x:c>
      <x:c r="L3" s="41" t="str">
        <x:v>USDA_FDC_SR_LEGACY_2018</x:v>
      </x:c>
      <x:c r="M3" s="41" t="str">
        <x:v>SR Legacy 04/2018</x:v>
      </x:c>
      <x:c r="N3" s="41" t="str">
        <x:v>https://fdc.nal.usda.gov/fdc-app.html#/food-details/170685/nutrients</x:v>
      </x:c>
      <x:c r="O3" s="41" t="str">
        <x:v>0</x:v>
      </x:c>
      <x:c r="P3" s="41" t="str"/>
      <x:c r="Q3" s="41" t="str">
        <x:v>346.0</x:v>
      </x:c>
      <x:c r="R3" s="41" t="str">
        <x:v>11.7</x:v>
      </x:c>
      <x:c r="S3" s="41" t="str">
        <x:v>2.71</x:v>
      </x:c>
      <x:c r="T3" s="41" t="str">
        <x:v>75.0</x:v>
      </x:c>
      <x:c r="U3" s="41" t="str">
        <x:v>10.3</x:v>
      </x:c>
      <x:c r="V3" s="41" t="str">
        <x:v>11.0</x:v>
      </x:c>
      <x:c r="W3" s="41" t="str">
        <x:v>0.0279</x:v>
      </x:c>
      <x:c r="X3" s="41" t="str">
        <x:v>повседневный базовый продукт; проверить корректность состояния продукта</x:v>
      </x:c>
      <x:c r="Y3" s="38" t="str">
        <x:v>NOT_REVIEWED</x:v>
      </x:c>
      <x:c r="Z3" s="38" t="str">
        <x:v>NOT_REVIEWED</x:v>
      </x:c>
      <x:c r="AA3" s="38" t="str">
        <x:v>NOT_REVIEWED</x:v>
      </x:c>
      <x:c r="AB3" s="38" t="str">
        <x:v>NOT_REVIEWED</x:v>
      </x:c>
      <x:c r="AC3" s="38" t="str">
        <x:v>NOT_REVIEWED</x:v>
      </x:c>
      <x:c r="AD3" s="38" t="str">
        <x:v>NOT_REVIEWED</x:v>
      </x:c>
      <x:c r="AE3" s="38" t="str">
        <x:v>NOT_REVIEWED</x:v>
      </x:c>
      <x:c r="AF3" s="38" t="str">
        <x:v>NOT_REVIEWED</x:v>
      </x:c>
      <x:c r="AG3" s="38" t="str">
        <x:v>NOT_REVIEWED</x:v>
      </x:c>
      <x:c r="AH3" s="41" t="str"/>
      <x:c r="AI3" s="41" t="str"/>
      <x:c r="AJ3" s="41" t="str"/>
      <x:c r="AK3" s="41" t="str"/>
      <x:c r="AL3" s="41" t="str"/>
    </x:row>
    <x:row r="4" ht="108" hidden="0" customHeight="1">
      <x:c r="A4" s="38" t="str">
        <x:v>3</x:v>
      </x:c>
      <x:c r="B4" s="38" t="str">
        <x:v>Крупы, хлеб и крахмалистые продукты</x:v>
      </x:c>
      <x:c r="C4" s="41" t="str">
        <x:v>oatmeal_cooked</x:v>
      </x:c>
      <x:c r="D4" s="41" t="str">
        <x:v>Овсяная каша на воде (без соли)</x:v>
      </x:c>
      <x:c r="E4" s="41" t="str">
        <x:v>Whole Grains</x:v>
      </x:c>
      <x:c r="F4" s="41" t="str">
        <x:v>prepared</x:v>
      </x:c>
      <x:c r="G4" s="38" t="str">
        <x:v>HIGH</x:v>
      </x:c>
      <x:c r="H4" s="38" t="str">
        <x:v>0.98</x:v>
      </x:c>
      <x:c r="I4" s="38" t="str">
        <x:v>VERIFIED</x:v>
      </x:c>
      <x:c r="J4" s="41" t="str">
        <x:v>PRIMARY_DATASET</x:v>
      </x:c>
      <x:c r="K4" s="41" t="str">
        <x:v>USDA_FDC_FNDDS:2708381</x:v>
      </x:c>
      <x:c r="L4" s="41" t="str">
        <x:v>USDA_FDC_FNDDS_2021_2023</x:v>
      </x:c>
      <x:c r="M4" s="41" t="str">
        <x:v>FNDDS 2021-2023</x:v>
      </x:c>
      <x:c r="N4" s="41" t="str">
        <x:v>https://fdc.nal.usda.gov/fdc-app.html#/food-details/2708381/nutrients</x:v>
      </x:c>
      <x:c r="O4" s="41" t="str">
        <x:v>0</x:v>
      </x:c>
      <x:c r="P4" s="41" t="str"/>
      <x:c r="Q4" s="41" t="str">
        <x:v>64.0</x:v>
      </x:c>
      <x:c r="R4" s="41" t="str">
        <x:v>2.21</x:v>
      </x:c>
      <x:c r="S4" s="41" t="str">
        <x:v>1.09</x:v>
      </x:c>
      <x:c r="T4" s="41" t="str">
        <x:v>11.4</x:v>
      </x:c>
      <x:c r="U4" s="41" t="str">
        <x:v>1.7</x:v>
      </x:c>
      <x:c r="V4" s="41" t="str">
        <x:v>70.0</x:v>
      </x:c>
      <x:c r="W4" s="41" t="str">
        <x:v>0.1778</x:v>
      </x:c>
      <x:c r="X4" s="41" t="str">
        <x:v>повседневный базовый продукт; проверить корректность состояния продукта</x:v>
      </x:c>
      <x:c r="Y4" s="38" t="str">
        <x:v>NOT_REVIEWED</x:v>
      </x:c>
      <x:c r="Z4" s="38" t="str">
        <x:v>NOT_REVIEWED</x:v>
      </x:c>
      <x:c r="AA4" s="38" t="str">
        <x:v>NOT_REVIEWED</x:v>
      </x:c>
      <x:c r="AB4" s="38" t="str">
        <x:v>NOT_REVIEWED</x:v>
      </x:c>
      <x:c r="AC4" s="38" t="str">
        <x:v>NOT_REVIEWED</x:v>
      </x:c>
      <x:c r="AD4" s="38" t="str">
        <x:v>NOT_REVIEWED</x:v>
      </x:c>
      <x:c r="AE4" s="38" t="str">
        <x:v>NOT_REVIEWED</x:v>
      </x:c>
      <x:c r="AF4" s="38" t="str">
        <x:v>NOT_REVIEWED</x:v>
      </x:c>
      <x:c r="AG4" s="38" t="str">
        <x:v>NOT_REVIEWED</x:v>
      </x:c>
      <x:c r="AH4" s="41" t="str"/>
      <x:c r="AI4" s="41" t="str"/>
      <x:c r="AJ4" s="41" t="str"/>
      <x:c r="AK4" s="41" t="str"/>
      <x:c r="AL4" s="41" t="str"/>
    </x:row>
    <x:row r="5" ht="108" hidden="0" customHeight="1">
      <x:c r="A5" s="38" t="str">
        <x:v>4</x:v>
      </x:c>
      <x:c r="B5" s="38" t="str">
        <x:v>Крупы, хлеб и крахмалистые продукты</x:v>
      </x:c>
      <x:c r="C5" s="41" t="str">
        <x:v>oatmeal</x:v>
      </x:c>
      <x:c r="D5" s="41" t="str">
        <x:v>Овсяные хлопья, сухие</x:v>
      </x:c>
      <x:c r="E5" s="41" t="str">
        <x:v>Whole Grains</x:v>
      </x:c>
      <x:c r="F5" s="41" t="str">
        <x:v>dry</x:v>
      </x:c>
      <x:c r="G5" s="38" t="str">
        <x:v>HIGH</x:v>
      </x:c>
      <x:c r="H5" s="38" t="str">
        <x:v>0.98</x:v>
      </x:c>
      <x:c r="I5" s="38" t="str">
        <x:v>VERIFIED</x:v>
      </x:c>
      <x:c r="J5" s="41" t="str">
        <x:v>PRIMARY_DATASET</x:v>
      </x:c>
      <x:c r="K5" s="41" t="str">
        <x:v>USDA_FDC_SR:173904</x:v>
      </x:c>
      <x:c r="L5" s="41" t="str">
        <x:v>USDA_FDC_SR_LEGACY_2018</x:v>
      </x:c>
      <x:c r="M5" s="41" t="str">
        <x:v>SR Legacy 04/2018</x:v>
      </x:c>
      <x:c r="N5" s="41" t="str">
        <x:v>https://fdc.nal.usda.gov/fdc-app.html#/food-details/173904/nutrients</x:v>
      </x:c>
      <x:c r="O5" s="41" t="str">
        <x:v>0</x:v>
      </x:c>
      <x:c r="P5" s="41" t="str"/>
      <x:c r="Q5" s="41" t="str">
        <x:v>379.0</x:v>
      </x:c>
      <x:c r="R5" s="41" t="str">
        <x:v>13.2</x:v>
      </x:c>
      <x:c r="S5" s="41" t="str">
        <x:v>6.52</x:v>
      </x:c>
      <x:c r="T5" s="41" t="str">
        <x:v>67.7</x:v>
      </x:c>
      <x:c r="U5" s="41" t="str">
        <x:v>10.1</x:v>
      </x:c>
      <x:c r="V5" s="41" t="str">
        <x:v>6.0</x:v>
      </x:c>
      <x:c r="W5" s="41" t="str">
        <x:v>0.0152</x:v>
      </x:c>
      <x:c r="X5" s="41" t="str">
        <x:v>повседневный базовый продукт; проверить корректность состояния продукта</x:v>
      </x:c>
      <x:c r="Y5" s="38" t="str">
        <x:v>NOT_REVIEWED</x:v>
      </x:c>
      <x:c r="Z5" s="38" t="str">
        <x:v>NOT_REVIEWED</x:v>
      </x:c>
      <x:c r="AA5" s="38" t="str">
        <x:v>NOT_REVIEWED</x:v>
      </x:c>
      <x:c r="AB5" s="38" t="str">
        <x:v>NOT_REVIEWED</x:v>
      </x:c>
      <x:c r="AC5" s="38" t="str">
        <x:v>NOT_REVIEWED</x:v>
      </x:c>
      <x:c r="AD5" s="38" t="str">
        <x:v>NOT_REVIEWED</x:v>
      </x:c>
      <x:c r="AE5" s="38" t="str">
        <x:v>NOT_REVIEWED</x:v>
      </x:c>
      <x:c r="AF5" s="38" t="str">
        <x:v>NOT_REVIEWED</x:v>
      </x:c>
      <x:c r="AG5" s="38" t="str">
        <x:v>NOT_REVIEWED</x:v>
      </x:c>
      <x:c r="AH5" s="41" t="str"/>
      <x:c r="AI5" s="41" t="str"/>
      <x:c r="AJ5" s="41" t="str"/>
      <x:c r="AK5" s="41" t="str"/>
      <x:c r="AL5" s="41" t="str"/>
    </x:row>
    <x:row r="6" ht="108" hidden="0" customHeight="1">
      <x:c r="A6" s="38" t="str">
        <x:v>5</x:v>
      </x:c>
      <x:c r="B6" s="38" t="str">
        <x:v>Крупы, хлеб и крахмалистые продукты</x:v>
      </x:c>
      <x:c r="C6" s="41" t="str">
        <x:v>rice_cooked</x:v>
      </x:c>
      <x:c r="D6" s="41" t="str">
        <x:v>Рис белый, варёный, без добавленного жира</x:v>
      </x:c>
      <x:c r="E6" s="41" t="str">
        <x:v>Refined Grains</x:v>
      </x:c>
      <x:c r="F6" s="41" t="str">
        <x:v>cooked</x:v>
      </x:c>
      <x:c r="G6" s="38" t="str">
        <x:v>HIGH</x:v>
      </x:c>
      <x:c r="H6" s="38" t="str">
        <x:v>0.98</x:v>
      </x:c>
      <x:c r="I6" s="38" t="str">
        <x:v>VERIFIED</x:v>
      </x:c>
      <x:c r="J6" s="41" t="str">
        <x:v>PRIMARY_DATASET</x:v>
      </x:c>
      <x:c r="K6" s="41" t="str">
        <x:v>USDA_FDC_FNDDS:2708408</x:v>
      </x:c>
      <x:c r="L6" s="41" t="str">
        <x:v>USDA_FDC_FNDDS_2021_2023</x:v>
      </x:c>
      <x:c r="M6" s="41" t="str">
        <x:v>FNDDS 2021-2023</x:v>
      </x:c>
      <x:c r="N6" s="41" t="str">
        <x:v>https://fdc.nal.usda.gov/fdc-app.html#/food-details/2708408/nutrients</x:v>
      </x:c>
      <x:c r="O6" s="41" t="str">
        <x:v>0</x:v>
      </x:c>
      <x:c r="P6" s="41" t="str"/>
      <x:c r="Q6" s="41" t="str">
        <x:v>129.0</x:v>
      </x:c>
      <x:c r="R6" s="41" t="str">
        <x:v>2.67</x:v>
      </x:c>
      <x:c r="S6" s="41" t="str">
        <x:v>0.28</x:v>
      </x:c>
      <x:c r="T6" s="41" t="str">
        <x:v>28.0</x:v>
      </x:c>
      <x:c r="U6" s="41" t="str">
        <x:v>0.4</x:v>
      </x:c>
      <x:c r="V6" s="41" t="str">
        <x:v>245.0</x:v>
      </x:c>
      <x:c r="W6" s="41" t="str">
        <x:v>0.6223</x:v>
      </x:c>
      <x:c r="X6" s="41" t="str">
        <x:v>повседневный базовый продукт; проверить корректность состояния продукта</x:v>
      </x:c>
      <x:c r="Y6" s="38" t="str">
        <x:v>NOT_REVIEWED</x:v>
      </x:c>
      <x:c r="Z6" s="38" t="str">
        <x:v>NOT_REVIEWED</x:v>
      </x:c>
      <x:c r="AA6" s="38" t="str">
        <x:v>NOT_REVIEWED</x:v>
      </x:c>
      <x:c r="AB6" s="38" t="str">
        <x:v>NOT_REVIEWED</x:v>
      </x:c>
      <x:c r="AC6" s="38" t="str">
        <x:v>NOT_REVIEWED</x:v>
      </x:c>
      <x:c r="AD6" s="38" t="str">
        <x:v>NOT_REVIEWED</x:v>
      </x:c>
      <x:c r="AE6" s="38" t="str">
        <x:v>NOT_REVIEWED</x:v>
      </x:c>
      <x:c r="AF6" s="38" t="str">
        <x:v>NOT_REVIEWED</x:v>
      </x:c>
      <x:c r="AG6" s="38" t="str">
        <x:v>NOT_REVIEWED</x:v>
      </x:c>
      <x:c r="AH6" s="41" t="str"/>
      <x:c r="AI6" s="41" t="str"/>
      <x:c r="AJ6" s="41" t="str"/>
      <x:c r="AK6" s="41" t="str"/>
      <x:c r="AL6" s="41" t="str"/>
    </x:row>
    <x:row r="7" ht="108" hidden="0" customHeight="1">
      <x:c r="A7" s="38" t="str">
        <x:v>6</x:v>
      </x:c>
      <x:c r="B7" s="38" t="str">
        <x:v>Крупы, хлеб и крахмалистые продукты</x:v>
      </x:c>
      <x:c r="C7" s="41" t="str">
        <x:v>brown_rice_cooked</x:v>
      </x:c>
      <x:c r="D7" s="41" t="str">
        <x:v>Рис бурый длиннозёрный, варёный</x:v>
      </x:c>
      <x:c r="E7" s="41" t="str">
        <x:v>Whole Grains</x:v>
      </x:c>
      <x:c r="F7" s="41" t="str">
        <x:v>prepared</x:v>
      </x:c>
      <x:c r="G7" s="38" t="str">
        <x:v>HIGH</x:v>
      </x:c>
      <x:c r="H7" s="38" t="str">
        <x:v>0.98</x:v>
      </x:c>
      <x:c r="I7" s="38" t="str">
        <x:v>VERIFIED</x:v>
      </x:c>
      <x:c r="J7" s="41" t="str">
        <x:v>PRIMARY_DATASET</x:v>
      </x:c>
      <x:c r="K7" s="41" t="str">
        <x:v>USDA_FDC_SR:169704</x:v>
      </x:c>
      <x:c r="L7" s="41" t="str">
        <x:v>USDA_FDC_SR_LEGACY_2018</x:v>
      </x:c>
      <x:c r="M7" s="41" t="str">
        <x:v>SR Legacy 04/2018</x:v>
      </x:c>
      <x:c r="N7" s="41" t="str">
        <x:v>https://fdc.nal.usda.gov/fdc-app.html#/food-details/169704/nutrients</x:v>
      </x:c>
      <x:c r="O7" s="41" t="str">
        <x:v>0</x:v>
      </x:c>
      <x:c r="P7" s="41" t="str"/>
      <x:c r="Q7" s="41" t="str">
        <x:v>123.0</x:v>
      </x:c>
      <x:c r="R7" s="41" t="str">
        <x:v>2.74</x:v>
      </x:c>
      <x:c r="S7" s="41" t="str">
        <x:v>0.97</x:v>
      </x:c>
      <x:c r="T7" s="41" t="str">
        <x:v>25.6</x:v>
      </x:c>
      <x:c r="U7" s="41" t="str">
        <x:v>1.6</x:v>
      </x:c>
      <x:c r="V7" s="41" t="str">
        <x:v>4.0</x:v>
      </x:c>
      <x:c r="W7" s="41" t="str">
        <x:v>0.0102</x:v>
      </x:c>
      <x:c r="X7" s="41" t="str">
        <x:v>повседневный базовый продукт; проверить корректность состояния продукта</x:v>
      </x:c>
      <x:c r="Y7" s="38" t="str">
        <x:v>NOT_REVIEWED</x:v>
      </x:c>
      <x:c r="Z7" s="38" t="str">
        <x:v>NOT_REVIEWED</x:v>
      </x:c>
      <x:c r="AA7" s="38" t="str">
        <x:v>NOT_REVIEWED</x:v>
      </x:c>
      <x:c r="AB7" s="38" t="str">
        <x:v>NOT_REVIEWED</x:v>
      </x:c>
      <x:c r="AC7" s="38" t="str">
        <x:v>NOT_REVIEWED</x:v>
      </x:c>
      <x:c r="AD7" s="38" t="str">
        <x:v>NOT_REVIEWED</x:v>
      </x:c>
      <x:c r="AE7" s="38" t="str">
        <x:v>NOT_REVIEWED</x:v>
      </x:c>
      <x:c r="AF7" s="38" t="str">
        <x:v>NOT_REVIEWED</x:v>
      </x:c>
      <x:c r="AG7" s="38" t="str">
        <x:v>NOT_REVIEWED</x:v>
      </x:c>
      <x:c r="AH7" s="41" t="str"/>
      <x:c r="AI7" s="41" t="str"/>
      <x:c r="AJ7" s="41" t="str"/>
      <x:c r="AK7" s="41" t="str"/>
      <x:c r="AL7" s="41" t="str"/>
    </x:row>
    <x:row r="8" ht="144" hidden="0" customHeight="1">
      <x:c r="A8" s="38" t="str">
        <x:v>7</x:v>
      </x:c>
      <x:c r="B8" s="38" t="str">
        <x:v>Крупы, хлеб и крахмалистые продукты</x:v>
      </x:c>
      <x:c r="C8" s="41" t="str">
        <x:v>rice_basmati</x:v>
      </x:c>
      <x:c r="D8" s="41" t="str">
        <x:v>Рис басмати, варёный — приближённый профиль белого риса</x:v>
      </x:c>
      <x:c r="E8" s="41" t="str">
        <x:v>Refined Grains</x:v>
      </x:c>
      <x:c r="F8" s="41" t="str">
        <x:v>cooked</x:v>
      </x:c>
      <x:c r="G8" s="38" t="str">
        <x:v>MEDIUM</x:v>
      </x:c>
      <x:c r="H8" s="38" t="str">
        <x:v>0.73</x:v>
      </x:c>
      <x:c r="I8" s="38" t="str">
        <x:v>CONDITIONALLY_ACCEPTED</x:v>
      </x:c>
      <x:c r="J8" s="41" t="str">
        <x:v>MIXED_SOURCE</x:v>
      </x:c>
      <x:c r="K8" s="41" t="str">
        <x:v>USDA_FDC_FNDDS:2708408</x:v>
      </x:c>
      <x:c r="L8" s="41" t="str">
        <x:v>USDA_FDC_FNDDS_2021_2023</x:v>
      </x:c>
      <x:c r="M8" s="41" t="str">
        <x:v>FNDDS 2021-2023</x:v>
      </x:c>
      <x:c r="N8" s="41" t="str">
        <x:v>https://fdc.nal.usda.gov/fdc-app.html#/food-details/2708408/nutrients</x:v>
      </x:c>
      <x:c r="O8" s="41" t="str">
        <x:v>6</x:v>
      </x:c>
      <x:c r="P8" s="41" t="str">
        <x:v>added_sugar; vitamin_a_mcg; vitamin_b12_mcg; vitamin_c_mg; vitamin_d_mcg; vitamin_k_mcg</x:v>
      </x:c>
      <x:c r="Q8" s="41" t="str">
        <x:v>129.0</x:v>
      </x:c>
      <x:c r="R8" s="41" t="str">
        <x:v>2.67</x:v>
      </x:c>
      <x:c r="S8" s="41" t="str">
        <x:v>0.28</x:v>
      </x:c>
      <x:c r="T8" s="41" t="str">
        <x:v>28.0</x:v>
      </x:c>
      <x:c r="U8" s="41" t="str">
        <x:v>0.4</x:v>
      </x:c>
      <x:c r="V8" s="41" t="str">
        <x:v>245.0</x:v>
      </x:c>
      <x:c r="W8" s="41" t="str">
        <x:v>0.6223</x:v>
      </x:c>
      <x:c r="X8" s="41" t="str">
        <x:v>повседневный базовый продукт; предполагаемых нулей: 6; проверить корректность состояния продукта</x:v>
      </x:c>
      <x:c r="Y8" s="38" t="str">
        <x:v>NOT_REVIEWED</x:v>
      </x:c>
      <x:c r="Z8" s="38" t="str">
        <x:v>NOT_REVIEWED</x:v>
      </x:c>
      <x:c r="AA8" s="38" t="str">
        <x:v>NOT_REVIEWED</x:v>
      </x:c>
      <x:c r="AB8" s="38" t="str">
        <x:v>NOT_REVIEWED</x:v>
      </x:c>
      <x:c r="AC8" s="38" t="str">
        <x:v>NOT_REVIEWED</x:v>
      </x:c>
      <x:c r="AD8" s="38" t="str">
        <x:v>NOT_REVIEWED</x:v>
      </x:c>
      <x:c r="AE8" s="38" t="str">
        <x:v>NOT_REVIEWED</x:v>
      </x:c>
      <x:c r="AF8" s="38" t="str">
        <x:v>NOT_REVIEWED</x:v>
      </x:c>
      <x:c r="AG8" s="38" t="str">
        <x:v>NOT_REVIEWED</x:v>
      </x:c>
      <x:c r="AH8" s="41" t="str"/>
      <x:c r="AI8" s="41" t="str"/>
      <x:c r="AJ8" s="41" t="str"/>
      <x:c r="AK8" s="41" t="str"/>
      <x:c r="AL8" s="41" t="str"/>
    </x:row>
    <x:row r="9" ht="108" hidden="0" customHeight="1">
      <x:c r="A9" s="38" t="str">
        <x:v>8</x:v>
      </x:c>
      <x:c r="B9" s="38" t="str">
        <x:v>Крупы, хлеб и крахмалистые продукты</x:v>
      </x:c>
      <x:c r="C9" s="41" t="str">
        <x:v>pearl_barley_cooked</x:v>
      </x:c>
      <x:c r="D9" s="41" t="str">
        <x:v>Перловая крупа, варёная</x:v>
      </x:c>
      <x:c r="E9" s="41" t="str">
        <x:v>Whole Grains</x:v>
      </x:c>
      <x:c r="F9" s="41" t="str">
        <x:v>prepared</x:v>
      </x:c>
      <x:c r="G9" s="38" t="str">
        <x:v>HIGH</x:v>
      </x:c>
      <x:c r="H9" s="38" t="str">
        <x:v>0.98</x:v>
      </x:c>
      <x:c r="I9" s="38" t="str">
        <x:v>VERIFIED</x:v>
      </x:c>
      <x:c r="J9" s="41" t="str">
        <x:v>PRIMARY_DATASET</x:v>
      </x:c>
      <x:c r="K9" s="41" t="str">
        <x:v>USDA_FDC_SR:170285</x:v>
      </x:c>
      <x:c r="L9" s="41" t="str">
        <x:v>USDA_FDC_SR_LEGACY_2018</x:v>
      </x:c>
      <x:c r="M9" s="41" t="str">
        <x:v>SR Legacy 04/2018</x:v>
      </x:c>
      <x:c r="N9" s="41" t="str">
        <x:v>https://fdc.nal.usda.gov/fdc-app.html#/food-details/170285/nutrients</x:v>
      </x:c>
      <x:c r="O9" s="41" t="str">
        <x:v>0</x:v>
      </x:c>
      <x:c r="P9" s="41" t="str"/>
      <x:c r="Q9" s="41" t="str">
        <x:v>123.0</x:v>
      </x:c>
      <x:c r="R9" s="41" t="str">
        <x:v>2.26</x:v>
      </x:c>
      <x:c r="S9" s="41" t="str">
        <x:v>0.44</x:v>
      </x:c>
      <x:c r="T9" s="41" t="str">
        <x:v>28.2</x:v>
      </x:c>
      <x:c r="U9" s="41" t="str">
        <x:v>3.8</x:v>
      </x:c>
      <x:c r="V9" s="41" t="str">
        <x:v>3.0</x:v>
      </x:c>
      <x:c r="W9" s="41" t="str">
        <x:v>0.0076</x:v>
      </x:c>
      <x:c r="X9" s="41" t="str">
        <x:v>повседневный базовый продукт; проверить корректность состояния продукта</x:v>
      </x:c>
      <x:c r="Y9" s="38" t="str">
        <x:v>NOT_REVIEWED</x:v>
      </x:c>
      <x:c r="Z9" s="38" t="str">
        <x:v>NOT_REVIEWED</x:v>
      </x:c>
      <x:c r="AA9" s="38" t="str">
        <x:v>NOT_REVIEWED</x:v>
      </x:c>
      <x:c r="AB9" s="38" t="str">
        <x:v>NOT_REVIEWED</x:v>
      </x:c>
      <x:c r="AC9" s="38" t="str">
        <x:v>NOT_REVIEWED</x:v>
      </x:c>
      <x:c r="AD9" s="38" t="str">
        <x:v>NOT_REVIEWED</x:v>
      </x:c>
      <x:c r="AE9" s="38" t="str">
        <x:v>NOT_REVIEWED</x:v>
      </x:c>
      <x:c r="AF9" s="38" t="str">
        <x:v>NOT_REVIEWED</x:v>
      </x:c>
      <x:c r="AG9" s="38" t="str">
        <x:v>NOT_REVIEWED</x:v>
      </x:c>
      <x:c r="AH9" s="41" t="str"/>
      <x:c r="AI9" s="41" t="str"/>
      <x:c r="AJ9" s="41" t="str"/>
      <x:c r="AK9" s="41" t="str"/>
      <x:c r="AL9" s="41" t="str"/>
    </x:row>
    <x:row r="10" ht="108" hidden="0" customHeight="1">
      <x:c r="A10" s="38" t="str">
        <x:v>9</x:v>
      </x:c>
      <x:c r="B10" s="38" t="str">
        <x:v>Крупы, хлеб и крахмалистые продукты</x:v>
      </x:c>
      <x:c r="C10" s="41" t="str">
        <x:v>millet</x:v>
      </x:c>
      <x:c r="D10" s="41" t="str">
        <x:v>Просо / пшено, сухое</x:v>
      </x:c>
      <x:c r="E10" s="41" t="str">
        <x:v>Whole Grains</x:v>
      </x:c>
      <x:c r="F10" s="41" t="str">
        <x:v>dry</x:v>
      </x:c>
      <x:c r="G10" s="38" t="str">
        <x:v>HIGH</x:v>
      </x:c>
      <x:c r="H10" s="38" t="str">
        <x:v>0.98</x:v>
      </x:c>
      <x:c r="I10" s="38" t="str">
        <x:v>VERIFIED</x:v>
      </x:c>
      <x:c r="J10" s="41" t="str">
        <x:v>PRIMARY_DATASET</x:v>
      </x:c>
      <x:c r="K10" s="41" t="str">
        <x:v>USDA_FDC_SR:169702</x:v>
      </x:c>
      <x:c r="L10" s="41" t="str">
        <x:v>USDA_FDC_SR_LEGACY_2018</x:v>
      </x:c>
      <x:c r="M10" s="41" t="str">
        <x:v>SR Legacy 04/2018</x:v>
      </x:c>
      <x:c r="N10" s="41" t="str">
        <x:v>https://fdc.nal.usda.gov/fdc-app.html#/food-details/169702/nutrients</x:v>
      </x:c>
      <x:c r="O10" s="41" t="str">
        <x:v>0</x:v>
      </x:c>
      <x:c r="P10" s="41" t="str"/>
      <x:c r="Q10" s="41" t="str">
        <x:v>378.0</x:v>
      </x:c>
      <x:c r="R10" s="41" t="str">
        <x:v>11.0</x:v>
      </x:c>
      <x:c r="S10" s="41" t="str">
        <x:v>4.22</x:v>
      </x:c>
      <x:c r="T10" s="41" t="str">
        <x:v>72.8</x:v>
      </x:c>
      <x:c r="U10" s="41" t="str">
        <x:v>8.5</x:v>
      </x:c>
      <x:c r="V10" s="41" t="str">
        <x:v>5.0</x:v>
      </x:c>
      <x:c r="W10" s="41" t="str">
        <x:v>0.0127</x:v>
      </x:c>
      <x:c r="X10" s="41" t="str">
        <x:v>повседневный базовый продукт; проверить корректность состояния продукта</x:v>
      </x:c>
      <x:c r="Y10" s="38" t="str">
        <x:v>NOT_REVIEWED</x:v>
      </x:c>
      <x:c r="Z10" s="38" t="str">
        <x:v>NOT_REVIEWED</x:v>
      </x:c>
      <x:c r="AA10" s="38" t="str">
        <x:v>NOT_REVIEWED</x:v>
      </x:c>
      <x:c r="AB10" s="38" t="str">
        <x:v>NOT_REVIEWED</x:v>
      </x:c>
      <x:c r="AC10" s="38" t="str">
        <x:v>NOT_REVIEWED</x:v>
      </x:c>
      <x:c r="AD10" s="38" t="str">
        <x:v>NOT_REVIEWED</x:v>
      </x:c>
      <x:c r="AE10" s="38" t="str">
        <x:v>NOT_REVIEWED</x:v>
      </x:c>
      <x:c r="AF10" s="38" t="str">
        <x:v>NOT_REVIEWED</x:v>
      </x:c>
      <x:c r="AG10" s="38" t="str">
        <x:v>NOT_REVIEWED</x:v>
      </x:c>
      <x:c r="AH10" s="41" t="str"/>
      <x:c r="AI10" s="41" t="str"/>
      <x:c r="AJ10" s="41" t="str"/>
      <x:c r="AK10" s="41" t="str"/>
      <x:c r="AL10" s="41" t="str"/>
    </x:row>
    <x:row r="11" ht="108" hidden="0" customHeight="1">
      <x:c r="A11" s="38" t="str">
        <x:v>10</x:v>
      </x:c>
      <x:c r="B11" s="38" t="str">
        <x:v>Крупы, хлеб и крахмалистые продукты</x:v>
      </x:c>
      <x:c r="C11" s="41" t="str">
        <x:v>quinoa_cooked</x:v>
      </x:c>
      <x:c r="D11" s="41" t="str">
        <x:v>Киноа (варёная)</x:v>
      </x:c>
      <x:c r="E11" s="41" t="str">
        <x:v>Whole Grains</x:v>
      </x:c>
      <x:c r="F11" s="41" t="str">
        <x:v>prepared</x:v>
      </x:c>
      <x:c r="G11" s="38" t="str">
        <x:v>HIGH</x:v>
      </x:c>
      <x:c r="H11" s="38" t="str">
        <x:v>0.98</x:v>
      </x:c>
      <x:c r="I11" s="38" t="str">
        <x:v>VERIFIED</x:v>
      </x:c>
      <x:c r="J11" s="41" t="str">
        <x:v>PRIMARY_DATASET</x:v>
      </x:c>
      <x:c r="K11" s="41" t="str">
        <x:v>USDA_FDC_SR:168917</x:v>
      </x:c>
      <x:c r="L11" s="41" t="str">
        <x:v>USDA_FDC_SR_LEGACY_2018</x:v>
      </x:c>
      <x:c r="M11" s="41" t="str">
        <x:v>SR Legacy 04/2018</x:v>
      </x:c>
      <x:c r="N11" s="41" t="str">
        <x:v>https://fdc.nal.usda.gov/fdc-app.html#/food-details/168917/nutrients</x:v>
      </x:c>
      <x:c r="O11" s="41" t="str">
        <x:v>0</x:v>
      </x:c>
      <x:c r="P11" s="41" t="str"/>
      <x:c r="Q11" s="41" t="str">
        <x:v>120.0</x:v>
      </x:c>
      <x:c r="R11" s="41" t="str">
        <x:v>4.4</x:v>
      </x:c>
      <x:c r="S11" s="41" t="str">
        <x:v>1.92</x:v>
      </x:c>
      <x:c r="T11" s="41" t="str">
        <x:v>21.3</x:v>
      </x:c>
      <x:c r="U11" s="41" t="str">
        <x:v>2.8</x:v>
      </x:c>
      <x:c r="V11" s="41" t="str">
        <x:v>7.0</x:v>
      </x:c>
      <x:c r="W11" s="41" t="str">
        <x:v>0.0178</x:v>
      </x:c>
      <x:c r="X11" s="41" t="str">
        <x:v>повседневный базовый продукт; проверить корректность состояния продукта</x:v>
      </x:c>
      <x:c r="Y11" s="38" t="str">
        <x:v>NOT_REVIEWED</x:v>
      </x:c>
      <x:c r="Z11" s="38" t="str">
        <x:v>NOT_REVIEWED</x:v>
      </x:c>
      <x:c r="AA11" s="38" t="str">
        <x:v>NOT_REVIEWED</x:v>
      </x:c>
      <x:c r="AB11" s="38" t="str">
        <x:v>NOT_REVIEWED</x:v>
      </x:c>
      <x:c r="AC11" s="38" t="str">
        <x:v>NOT_REVIEWED</x:v>
      </x:c>
      <x:c r="AD11" s="38" t="str">
        <x:v>NOT_REVIEWED</x:v>
      </x:c>
      <x:c r="AE11" s="38" t="str">
        <x:v>NOT_REVIEWED</x:v>
      </x:c>
      <x:c r="AF11" s="38" t="str">
        <x:v>NOT_REVIEWED</x:v>
      </x:c>
      <x:c r="AG11" s="38" t="str">
        <x:v>NOT_REVIEWED</x:v>
      </x:c>
      <x:c r="AH11" s="41" t="str"/>
      <x:c r="AI11" s="41" t="str"/>
      <x:c r="AJ11" s="41" t="str"/>
      <x:c r="AK11" s="41" t="str"/>
      <x:c r="AL11" s="41" t="str"/>
    </x:row>
    <x:row r="12" ht="108" hidden="0" customHeight="1">
      <x:c r="A12" s="38" t="str">
        <x:v>11</x:v>
      </x:c>
      <x:c r="B12" s="38" t="str">
        <x:v>Крупы, хлеб и крахмалистые продукты</x:v>
      </x:c>
      <x:c r="C12" s="41" t="str">
        <x:v>bulgur_cooked</x:v>
      </x:c>
      <x:c r="D12" s="41" t="str">
        <x:v>Булгур (варёный)</x:v>
      </x:c>
      <x:c r="E12" s="41" t="str">
        <x:v>Whole Grains</x:v>
      </x:c>
      <x:c r="F12" s="41" t="str">
        <x:v>prepared</x:v>
      </x:c>
      <x:c r="G12" s="38" t="str">
        <x:v>HIGH</x:v>
      </x:c>
      <x:c r="H12" s="38" t="str">
        <x:v>0.98</x:v>
      </x:c>
      <x:c r="I12" s="38" t="str">
        <x:v>VERIFIED</x:v>
      </x:c>
      <x:c r="J12" s="41" t="str">
        <x:v>PRIMARY_DATASET</x:v>
      </x:c>
      <x:c r="K12" s="41" t="str">
        <x:v>USDA_FDC_SR:170287</x:v>
      </x:c>
      <x:c r="L12" s="41" t="str">
        <x:v>USDA_FDC_SR_LEGACY_2018</x:v>
      </x:c>
      <x:c r="M12" s="41" t="str">
        <x:v>SR Legacy 04/2018</x:v>
      </x:c>
      <x:c r="N12" s="41" t="str">
        <x:v>https://fdc.nal.usda.gov/fdc-app.html#/food-details/170287/nutrients</x:v>
      </x:c>
      <x:c r="O12" s="41" t="str">
        <x:v>0</x:v>
      </x:c>
      <x:c r="P12" s="41" t="str"/>
      <x:c r="Q12" s="41" t="str">
        <x:v>83.0</x:v>
      </x:c>
      <x:c r="R12" s="41" t="str">
        <x:v>3.08</x:v>
      </x:c>
      <x:c r="S12" s="41" t="str">
        <x:v>0.24</x:v>
      </x:c>
      <x:c r="T12" s="41" t="str">
        <x:v>18.6</x:v>
      </x:c>
      <x:c r="U12" s="41" t="str">
        <x:v>4.5</x:v>
      </x:c>
      <x:c r="V12" s="41" t="str">
        <x:v>5.0</x:v>
      </x:c>
      <x:c r="W12" s="41" t="str">
        <x:v>0.0127</x:v>
      </x:c>
      <x:c r="X12" s="41" t="str">
        <x:v>повседневный базовый продукт; проверить корректность состояния продукта</x:v>
      </x:c>
      <x:c r="Y12" s="38" t="str">
        <x:v>NOT_REVIEWED</x:v>
      </x:c>
      <x:c r="Z12" s="38" t="str">
        <x:v>NOT_REVIEWED</x:v>
      </x:c>
      <x:c r="AA12" s="38" t="str">
        <x:v>NOT_REVIEWED</x:v>
      </x:c>
      <x:c r="AB12" s="38" t="str">
        <x:v>NOT_REVIEWED</x:v>
      </x:c>
      <x:c r="AC12" s="38" t="str">
        <x:v>NOT_REVIEWED</x:v>
      </x:c>
      <x:c r="AD12" s="38" t="str">
        <x:v>NOT_REVIEWED</x:v>
      </x:c>
      <x:c r="AE12" s="38" t="str">
        <x:v>NOT_REVIEWED</x:v>
      </x:c>
      <x:c r="AF12" s="38" t="str">
        <x:v>NOT_REVIEWED</x:v>
      </x:c>
      <x:c r="AG12" s="38" t="str">
        <x:v>NOT_REVIEWED</x:v>
      </x:c>
      <x:c r="AH12" s="41" t="str"/>
      <x:c r="AI12" s="41" t="str"/>
      <x:c r="AJ12" s="41" t="str"/>
      <x:c r="AK12" s="41" t="str"/>
      <x:c r="AL12" s="41" t="str"/>
    </x:row>
    <x:row r="13" ht="108" hidden="0" customHeight="1">
      <x:c r="A13" s="38" t="str">
        <x:v>12</x:v>
      </x:c>
      <x:c r="B13" s="38" t="str">
        <x:v>Крупы, хлеб и крахмалистые продукты</x:v>
      </x:c>
      <x:c r="C13" s="41" t="str">
        <x:v>couscous_cooked</x:v>
      </x:c>
      <x:c r="D13" s="41" t="str">
        <x:v>Кускус, готовый (на воде, без соли)</x:v>
      </x:c>
      <x:c r="E13" s="41" t="str">
        <x:v>Refined Grains</x:v>
      </x:c>
      <x:c r="F13" s="41" t="str">
        <x:v>prepared</x:v>
      </x:c>
      <x:c r="G13" s="38" t="str">
        <x:v>HIGH</x:v>
      </x:c>
      <x:c r="H13" s="38" t="str">
        <x:v>0.98</x:v>
      </x:c>
      <x:c r="I13" s="38" t="str">
        <x:v>VERIFIED</x:v>
      </x:c>
      <x:c r="J13" s="41" t="str">
        <x:v>PRIMARY_DATASET</x:v>
      </x:c>
      <x:c r="K13" s="41" t="str">
        <x:v>USDA_FDC_SR:169700</x:v>
      </x:c>
      <x:c r="L13" s="41" t="str">
        <x:v>USDA_FDC_SR_LEGACY_2018</x:v>
      </x:c>
      <x:c r="M13" s="41" t="str">
        <x:v>SR Legacy 04/2018</x:v>
      </x:c>
      <x:c r="N13" s="41" t="str">
        <x:v>https://fdc.nal.usda.gov/fdc-app.html#/food-details/169700/nutrients</x:v>
      </x:c>
      <x:c r="O13" s="41" t="str">
        <x:v>0</x:v>
      </x:c>
      <x:c r="P13" s="41" t="str"/>
      <x:c r="Q13" s="41" t="str">
        <x:v>112.0</x:v>
      </x:c>
      <x:c r="R13" s="41" t="str">
        <x:v>3.79</x:v>
      </x:c>
      <x:c r="S13" s="41" t="str">
        <x:v>0.16</x:v>
      </x:c>
      <x:c r="T13" s="41" t="str">
        <x:v>23.2</x:v>
      </x:c>
      <x:c r="U13" s="41" t="str">
        <x:v>1.4</x:v>
      </x:c>
      <x:c r="V13" s="41" t="str">
        <x:v>5.0</x:v>
      </x:c>
      <x:c r="W13" s="41" t="str">
        <x:v>0.0127</x:v>
      </x:c>
      <x:c r="X13" s="41" t="str">
        <x:v>повседневный базовый продукт; проверить корректность состояния продукта</x:v>
      </x:c>
      <x:c r="Y13" s="38" t="str">
        <x:v>NOT_REVIEWED</x:v>
      </x:c>
      <x:c r="Z13" s="38" t="str">
        <x:v>NOT_REVIEWED</x:v>
      </x:c>
      <x:c r="AA13" s="38" t="str">
        <x:v>NOT_REVIEWED</x:v>
      </x:c>
      <x:c r="AB13" s="38" t="str">
        <x:v>NOT_REVIEWED</x:v>
      </x:c>
      <x:c r="AC13" s="38" t="str">
        <x:v>NOT_REVIEWED</x:v>
      </x:c>
      <x:c r="AD13" s="38" t="str">
        <x:v>NOT_REVIEWED</x:v>
      </x:c>
      <x:c r="AE13" s="38" t="str">
        <x:v>NOT_REVIEWED</x:v>
      </x:c>
      <x:c r="AF13" s="38" t="str">
        <x:v>NOT_REVIEWED</x:v>
      </x:c>
      <x:c r="AG13" s="38" t="str">
        <x:v>NOT_REVIEWED</x:v>
      </x:c>
      <x:c r="AH13" s="41" t="str"/>
      <x:c r="AI13" s="41" t="str"/>
      <x:c r="AJ13" s="41" t="str"/>
      <x:c r="AK13" s="41" t="str"/>
      <x:c r="AL13" s="41" t="str"/>
    </x:row>
    <x:row r="14" ht="144" hidden="0" customHeight="1">
      <x:c r="A14" s="38" t="str">
        <x:v>13</x:v>
      </x:c>
      <x:c r="B14" s="38" t="str">
        <x:v>Крупы, хлеб и крахмалистые продукты</x:v>
      </x:c>
      <x:c r="C14" s="41" t="str">
        <x:v>soft_pasta_cooked</x:v>
      </x:c>
      <x:c r="D14" s="41" t="str">
        <x:v>Паста пшеничная, отварная, необогащённая, без соли</x:v>
      </x:c>
      <x:c r="E14" s="41" t="str">
        <x:v>Refined Grains</x:v>
      </x:c>
      <x:c r="F14" s="41" t="str">
        <x:v>cooked</x:v>
      </x:c>
      <x:c r="G14" s="38" t="str">
        <x:v>MEDIUM</x:v>
      </x:c>
      <x:c r="H14" s="38" t="str">
        <x:v>0.73</x:v>
      </x:c>
      <x:c r="I14" s="38" t="str">
        <x:v>CONDITIONALLY_ACCEPTED</x:v>
      </x:c>
      <x:c r="J14" s="41" t="str">
        <x:v>MIXED_SOURCE</x:v>
      </x:c>
      <x:c r="K14" s="41" t="str">
        <x:v>USDA_FDC_SR:168928</x:v>
      </x:c>
      <x:c r="L14" s="41" t="str">
        <x:v>USDA_FDC_SR_LEGACY_2018</x:v>
      </x:c>
      <x:c r="M14" s="41" t="str">
        <x:v>SR Legacy 04/2018</x:v>
      </x:c>
      <x:c r="N14" s="41" t="str">
        <x:v>https://fdc.nal.usda.gov/fdc-app.html#/food-details/168928/nutrients</x:v>
      </x:c>
      <x:c r="O14" s="41" t="str">
        <x:v>6</x:v>
      </x:c>
      <x:c r="P14" s="41" t="str">
        <x:v>added_sugar; vitamin_a_mcg; vitamin_b12_mcg; vitamin_c_mg; vitamin_d_mcg; vitamin_k_mcg</x:v>
      </x:c>
      <x:c r="Q14" s="41" t="str">
        <x:v>158.0</x:v>
      </x:c>
      <x:c r="R14" s="41" t="str">
        <x:v>5.8</x:v>
      </x:c>
      <x:c r="S14" s="41" t="str">
        <x:v>0.93</x:v>
      </x:c>
      <x:c r="T14" s="41" t="str">
        <x:v>30.9</x:v>
      </x:c>
      <x:c r="U14" s="41" t="str">
        <x:v>1.8</x:v>
      </x:c>
      <x:c r="V14" s="41" t="str">
        <x:v>1.0</x:v>
      </x:c>
      <x:c r="W14" s="41" t="str">
        <x:v>0.0025</x:v>
      </x:c>
      <x:c r="X14" s="41" t="str">
        <x:v>повседневный базовый продукт; предполагаемых нулей: 6; проверить корректность состояния продукта</x:v>
      </x:c>
      <x:c r="Y14" s="38" t="str">
        <x:v>NOT_REVIEWED</x:v>
      </x:c>
      <x:c r="Z14" s="38" t="str">
        <x:v>NOT_REVIEWED</x:v>
      </x:c>
      <x:c r="AA14" s="38" t="str">
        <x:v>NOT_REVIEWED</x:v>
      </x:c>
      <x:c r="AB14" s="38" t="str">
        <x:v>NOT_REVIEWED</x:v>
      </x:c>
      <x:c r="AC14" s="38" t="str">
        <x:v>NOT_REVIEWED</x:v>
      </x:c>
      <x:c r="AD14" s="38" t="str">
        <x:v>NOT_REVIEWED</x:v>
      </x:c>
      <x:c r="AE14" s="38" t="str">
        <x:v>NOT_REVIEWED</x:v>
      </x:c>
      <x:c r="AF14" s="38" t="str">
        <x:v>NOT_REVIEWED</x:v>
      </x:c>
      <x:c r="AG14" s="38" t="str">
        <x:v>NOT_REVIEWED</x:v>
      </x:c>
      <x:c r="AH14" s="41" t="str"/>
      <x:c r="AI14" s="41" t="str"/>
      <x:c r="AJ14" s="41" t="str"/>
      <x:c r="AK14" s="41" t="str"/>
      <x:c r="AL14" s="41" t="str"/>
    </x:row>
    <x:row r="15" ht="108" hidden="0" customHeight="1">
      <x:c r="A15" s="38" t="str">
        <x:v>14</x:v>
      </x:c>
      <x:c r="B15" s="38" t="str">
        <x:v>Крупы, хлеб и крахмалистые продукты</x:v>
      </x:c>
      <x:c r="C15" s="41" t="str">
        <x:v>white_bread</x:v>
      </x:c>
      <x:c r="D15" s="41" t="str">
        <x:v>Хлеб пшеничный (белый, стандартный)</x:v>
      </x:c>
      <x:c r="E15" s="41" t="str">
        <x:v>Refined Grains</x:v>
      </x:c>
      <x:c r="F15" s="41" t="str">
        <x:v>baked</x:v>
      </x:c>
      <x:c r="G15" s="38" t="str">
        <x:v>HIGH</x:v>
      </x:c>
      <x:c r="H15" s="38" t="str">
        <x:v>0.98</x:v>
      </x:c>
      <x:c r="I15" s="38" t="str">
        <x:v>VERIFIED</x:v>
      </x:c>
      <x:c r="J15" s="41" t="str">
        <x:v>PRIMARY_DATASET</x:v>
      </x:c>
      <x:c r="K15" s="41" t="str">
        <x:v>USDA_FDC_FNDDS:2707598</x:v>
      </x:c>
      <x:c r="L15" s="41" t="str">
        <x:v>USDA_FDC_FNDDS_2021_2023</x:v>
      </x:c>
      <x:c r="M15" s="41" t="str">
        <x:v>FNDDS 2021-2023</x:v>
      </x:c>
      <x:c r="N15" s="41" t="str">
        <x:v>https://fdc.nal.usda.gov/fdc-app.html#/food-details/2707598/nutrients</x:v>
      </x:c>
      <x:c r="O15" s="41" t="str">
        <x:v>0</x:v>
      </x:c>
      <x:c r="P15" s="41" t="str"/>
      <x:c r="Q15" s="41" t="str">
        <x:v>267.0</x:v>
      </x:c>
      <x:c r="R15" s="41" t="str">
        <x:v>9.43</x:v>
      </x:c>
      <x:c r="S15" s="41" t="str">
        <x:v>3.59</x:v>
      </x:c>
      <x:c r="T15" s="41" t="str">
        <x:v>49.2</x:v>
      </x:c>
      <x:c r="U15" s="41" t="str">
        <x:v>2.3</x:v>
      </x:c>
      <x:c r="V15" s="41" t="str">
        <x:v>450.0</x:v>
      </x:c>
      <x:c r="W15" s="41" t="str">
        <x:v>1.143</x:v>
      </x:c>
      <x:c r="X15" s="41" t="str">
        <x:v>повседневный базовый продукт; проверить корректность состояния продукта</x:v>
      </x:c>
      <x:c r="Y15" s="38" t="str">
        <x:v>NOT_REVIEWED</x:v>
      </x:c>
      <x:c r="Z15" s="38" t="str">
        <x:v>NOT_REVIEWED</x:v>
      </x:c>
      <x:c r="AA15" s="38" t="str">
        <x:v>NOT_REVIEWED</x:v>
      </x:c>
      <x:c r="AB15" s="38" t="str">
        <x:v>NOT_REVIEWED</x:v>
      </x:c>
      <x:c r="AC15" s="38" t="str">
        <x:v>NOT_REVIEWED</x:v>
      </x:c>
      <x:c r="AD15" s="38" t="str">
        <x:v>NOT_REVIEWED</x:v>
      </x:c>
      <x:c r="AE15" s="38" t="str">
        <x:v>NOT_REVIEWED</x:v>
      </x:c>
      <x:c r="AF15" s="38" t="str">
        <x:v>NOT_REVIEWED</x:v>
      </x:c>
      <x:c r="AG15" s="38" t="str">
        <x:v>NOT_REVIEWED</x:v>
      </x:c>
      <x:c r="AH15" s="41" t="str"/>
      <x:c r="AI15" s="41" t="str"/>
      <x:c r="AJ15" s="41" t="str"/>
      <x:c r="AK15" s="41" t="str"/>
      <x:c r="AL15" s="41" t="str"/>
    </x:row>
    <x:row r="16" ht="108" hidden="0" customHeight="1">
      <x:c r="A16" s="38" t="str">
        <x:v>15</x:v>
      </x:c>
      <x:c r="B16" s="38" t="str">
        <x:v>Крупы, хлеб и крахмалистые продукты</x:v>
      </x:c>
      <x:c r="C16" s="41" t="str">
        <x:v>rye_bread</x:v>
      </x:c>
      <x:c r="D16" s="41" t="str">
        <x:v>Хлеб ржаной</x:v>
      </x:c>
      <x:c r="E16" s="41" t="str">
        <x:v>Whole Grains</x:v>
      </x:c>
      <x:c r="F16" s="41" t="str">
        <x:v>prepared</x:v>
      </x:c>
      <x:c r="G16" s="38" t="str">
        <x:v>HIGH</x:v>
      </x:c>
      <x:c r="H16" s="38" t="str">
        <x:v>0.98</x:v>
      </x:c>
      <x:c r="I16" s="38" t="str">
        <x:v>VERIFIED</x:v>
      </x:c>
      <x:c r="J16" s="41" t="str">
        <x:v>PRIMARY_DATASET</x:v>
      </x:c>
      <x:c r="K16" s="41" t="str">
        <x:v>USDA_FDC_FNDDS:2707755</x:v>
      </x:c>
      <x:c r="L16" s="41" t="str">
        <x:v>USDA_FDC_FNDDS_2021_2023</x:v>
      </x:c>
      <x:c r="M16" s="41" t="str">
        <x:v>FNDDS 2021-2023</x:v>
      </x:c>
      <x:c r="N16" s="41" t="str">
        <x:v>https://fdc.nal.usda.gov/fdc-app.html#/food-details/2707755/nutrients</x:v>
      </x:c>
      <x:c r="O16" s="41" t="str">
        <x:v>0</x:v>
      </x:c>
      <x:c r="P16" s="41" t="str"/>
      <x:c r="Q16" s="41" t="str">
        <x:v>259.0</x:v>
      </x:c>
      <x:c r="R16" s="41" t="str">
        <x:v>8.5</x:v>
      </x:c>
      <x:c r="S16" s="41" t="str">
        <x:v>3.3</x:v>
      </x:c>
      <x:c r="T16" s="41" t="str">
        <x:v>48.3</x:v>
      </x:c>
      <x:c r="U16" s="41" t="str">
        <x:v>5.8</x:v>
      </x:c>
      <x:c r="V16" s="41" t="str">
        <x:v>570.0</x:v>
      </x:c>
      <x:c r="W16" s="41" t="str">
        <x:v>1.4478</x:v>
      </x:c>
      <x:c r="X16" s="41" t="str">
        <x:v>повседневный базовый продукт; проверить корректность состояния продукта</x:v>
      </x:c>
      <x:c r="Y16" s="38" t="str">
        <x:v>NOT_REVIEWED</x:v>
      </x:c>
      <x:c r="Z16" s="38" t="str">
        <x:v>NOT_REVIEWED</x:v>
      </x:c>
      <x:c r="AA16" s="38" t="str">
        <x:v>NOT_REVIEWED</x:v>
      </x:c>
      <x:c r="AB16" s="38" t="str">
        <x:v>NOT_REVIEWED</x:v>
      </x:c>
      <x:c r="AC16" s="38" t="str">
        <x:v>NOT_REVIEWED</x:v>
      </x:c>
      <x:c r="AD16" s="38" t="str">
        <x:v>NOT_REVIEWED</x:v>
      </x:c>
      <x:c r="AE16" s="38" t="str">
        <x:v>NOT_REVIEWED</x:v>
      </x:c>
      <x:c r="AF16" s="38" t="str">
        <x:v>NOT_REVIEWED</x:v>
      </x:c>
      <x:c r="AG16" s="38" t="str">
        <x:v>NOT_REVIEWED</x:v>
      </x:c>
      <x:c r="AH16" s="41" t="str"/>
      <x:c r="AI16" s="41" t="str"/>
      <x:c r="AJ16" s="41" t="str"/>
      <x:c r="AK16" s="41" t="str"/>
      <x:c r="AL16" s="41" t="str"/>
    </x:row>
    <x:row r="17" ht="144" hidden="0" customHeight="1">
      <x:c r="A17" s="38" t="str">
        <x:v>16</x:v>
      </x:c>
      <x:c r="B17" s="38" t="str">
        <x:v>Крупы, хлеб и крахмалистые продукты</x:v>
      </x:c>
      <x:c r="C17" s="41" t="str">
        <x:v>whole_grain_bread</x:v>
      </x:c>
      <x:c r="D17" s="41" t="str">
        <x:v>Хлеб цельнозерновой</x:v>
      </x:c>
      <x:c r="E17" s="41" t="str">
        <x:v>Whole Grains</x:v>
      </x:c>
      <x:c r="F17" s="41" t="str">
        <x:v>prepared</x:v>
      </x:c>
      <x:c r="G17" s="38" t="str">
        <x:v>MEDIUM</x:v>
      </x:c>
      <x:c r="H17" s="38" t="str">
        <x:v>0.73</x:v>
      </x:c>
      <x:c r="I17" s="38" t="str">
        <x:v>CONDITIONALLY_ACCEPTED</x:v>
      </x:c>
      <x:c r="J17" s="41" t="str">
        <x:v>MIXED_SOURCE</x:v>
      </x:c>
      <x:c r="K17" s="41" t="str">
        <x:v>USDA_FDC_FNDDS:2707709</x:v>
      </x:c>
      <x:c r="L17" s="41" t="str">
        <x:v>USDA_FDC_FNDDS_2021_2023</x:v>
      </x:c>
      <x:c r="M17" s="41" t="str">
        <x:v>FNDDS 2021-2023</x:v>
      </x:c>
      <x:c r="N17" s="41" t="str">
        <x:v>https://fdc.nal.usda.gov/fdc-app.html#/food-details/2707709/nutrients</x:v>
      </x:c>
      <x:c r="O17" s="41" t="str">
        <x:v>4</x:v>
      </x:c>
      <x:c r="P17" s="41" t="str">
        <x:v>vitamin_a_mcg; vitamin_b12_mcg; vitamin_c_mg; vitamin_d_mcg</x:v>
      </x:c>
      <x:c r="Q17" s="41" t="str">
        <x:v>254.0</x:v>
      </x:c>
      <x:c r="R17" s="41" t="str">
        <x:v>12.3</x:v>
      </x:c>
      <x:c r="S17" s="41" t="str">
        <x:v>3.55</x:v>
      </x:c>
      <x:c r="T17" s="41" t="str">
        <x:v>43.1</x:v>
      </x:c>
      <x:c r="U17" s="41" t="str">
        <x:v>6.0</x:v>
      </x:c>
      <x:c r="V17" s="41" t="str">
        <x:v>430.0</x:v>
      </x:c>
      <x:c r="W17" s="41" t="str">
        <x:v>1.0922</x:v>
      </x:c>
      <x:c r="X17" s="41" t="str">
        <x:v>повседневный базовый продукт; предполагаемых нулей: 4; проверить корректность состояния продукта</x:v>
      </x:c>
      <x:c r="Y17" s="38" t="str">
        <x:v>NOT_REVIEWED</x:v>
      </x:c>
      <x:c r="Z17" s="38" t="str">
        <x:v>NOT_REVIEWED</x:v>
      </x:c>
      <x:c r="AA17" s="38" t="str">
        <x:v>NOT_REVIEWED</x:v>
      </x:c>
      <x:c r="AB17" s="38" t="str">
        <x:v>NOT_REVIEWED</x:v>
      </x:c>
      <x:c r="AC17" s="38" t="str">
        <x:v>NOT_REVIEWED</x:v>
      </x:c>
      <x:c r="AD17" s="38" t="str">
        <x:v>NOT_REVIEWED</x:v>
      </x:c>
      <x:c r="AE17" s="38" t="str">
        <x:v>NOT_REVIEWED</x:v>
      </x:c>
      <x:c r="AF17" s="38" t="str">
        <x:v>NOT_REVIEWED</x:v>
      </x:c>
      <x:c r="AG17" s="38" t="str">
        <x:v>NOT_REVIEWED</x:v>
      </x:c>
      <x:c r="AH17" s="41" t="str"/>
      <x:c r="AI17" s="41" t="str"/>
      <x:c r="AJ17" s="41" t="str"/>
      <x:c r="AK17" s="41" t="str"/>
      <x:c r="AL17" s="41" t="str"/>
    </x:row>
    <x:row r="18" ht="108" hidden="0" customHeight="1">
      <x:c r="A18" s="38" t="str">
        <x:v>17</x:v>
      </x:c>
      <x:c r="B18" s="38" t="str">
        <x:v>Крупы, хлеб и крахмалистые продукты</x:v>
      </x:c>
      <x:c r="C18" s="41" t="str">
        <x:v>potato_boiled</x:v>
      </x:c>
      <x:c r="D18" s="41" t="str">
        <x:v>Картофель отварной (без соли)</x:v>
      </x:c>
      <x:c r="E18" s="41" t="str">
        <x:v>Vegetables</x:v>
      </x:c>
      <x:c r="F18" s="41" t="str">
        <x:v>boiled</x:v>
      </x:c>
      <x:c r="G18" s="38" t="str">
        <x:v>HIGH</x:v>
      </x:c>
      <x:c r="H18" s="38" t="str">
        <x:v>0.98</x:v>
      </x:c>
      <x:c r="I18" s="38" t="str">
        <x:v>VERIFIED</x:v>
      </x:c>
      <x:c r="J18" s="41" t="str">
        <x:v>PRIMARY_DATASET</x:v>
      </x:c>
      <x:c r="K18" s="41" t="str">
        <x:v>USDA_FDC_SR_LEGACY:170440</x:v>
      </x:c>
      <x:c r="L18" s="41" t="str">
        <x:v>USDA_FDC_SR_LEGACY_2018_04</x:v>
      </x:c>
      <x:c r="M18" s="41" t="str">
        <x:v>SR Legacy 2018-04</x:v>
      </x:c>
      <x:c r="N18" s="41" t="str">
        <x:v>https://fdc.nal.usda.gov/fdc-app.html#/food-details/170440/nutrients</x:v>
      </x:c>
      <x:c r="O18" s="41" t="str">
        <x:v>0</x:v>
      </x:c>
      <x:c r="P18" s="41" t="str"/>
      <x:c r="Q18" s="41" t="str">
        <x:v>86.0</x:v>
      </x:c>
      <x:c r="R18" s="41" t="str">
        <x:v>1.71</x:v>
      </x:c>
      <x:c r="S18" s="41" t="str">
        <x:v>0.1</x:v>
      </x:c>
      <x:c r="T18" s="41" t="str">
        <x:v>20.0</x:v>
      </x:c>
      <x:c r="U18" s="41" t="str">
        <x:v>1.8</x:v>
      </x:c>
      <x:c r="V18" s="41" t="str">
        <x:v>5.0</x:v>
      </x:c>
      <x:c r="W18" s="41" t="str">
        <x:v>0.0127</x:v>
      </x:c>
      <x:c r="X18" s="41" t="str">
        <x:v>повседневный базовый продукт; проверить корректность состояния продукта</x:v>
      </x:c>
      <x:c r="Y18" s="38" t="str">
        <x:v>NOT_REVIEWED</x:v>
      </x:c>
      <x:c r="Z18" s="38" t="str">
        <x:v>NOT_REVIEWED</x:v>
      </x:c>
      <x:c r="AA18" s="38" t="str">
        <x:v>NOT_REVIEWED</x:v>
      </x:c>
      <x:c r="AB18" s="38" t="str">
        <x:v>NOT_REVIEWED</x:v>
      </x:c>
      <x:c r="AC18" s="38" t="str">
        <x:v>NOT_REVIEWED</x:v>
      </x:c>
      <x:c r="AD18" s="38" t="str">
        <x:v>NOT_REVIEWED</x:v>
      </x:c>
      <x:c r="AE18" s="38" t="str">
        <x:v>NOT_REVIEWED</x:v>
      </x:c>
      <x:c r="AF18" s="38" t="str">
        <x:v>NOT_REVIEWED</x:v>
      </x:c>
      <x:c r="AG18" s="38" t="str">
        <x:v>NOT_REVIEWED</x:v>
      </x:c>
      <x:c r="AH18" s="41" t="str"/>
      <x:c r="AI18" s="41" t="str"/>
      <x:c r="AJ18" s="41" t="str"/>
      <x:c r="AK18" s="41" t="str"/>
      <x:c r="AL18" s="41" t="str"/>
    </x:row>
    <x:row r="19" ht="144" hidden="0" customHeight="1">
      <x:c r="A19" s="38" t="str">
        <x:v>18</x:v>
      </x:c>
      <x:c r="B19" s="38" t="str">
        <x:v>Молочные продукты и яйца</x:v>
      </x:c>
      <x:c r="C19" s="41" t="str">
        <x:v>milk_1_5_pct</x:v>
      </x:c>
      <x:c r="D19" s="41" t="str">
        <x:v>Молоко 1,5% жирности</x:v>
      </x:c>
      <x:c r="E19" s="41" t="str">
        <x:v>Dairy</x:v>
      </x:c>
      <x:c r="F19" s="41" t="str">
        <x:v>raw</x:v>
      </x:c>
      <x:c r="G19" s="38" t="str">
        <x:v>MEDIUM</x:v>
      </x:c>
      <x:c r="H19" s="38" t="str">
        <x:v>0.73</x:v>
      </x:c>
      <x:c r="I19" s="38" t="str">
        <x:v>CONDITIONALLY_ACCEPTED</x:v>
      </x:c>
      <x:c r="J19" s="41" t="str">
        <x:v>MIXED_SOURCE</x:v>
      </x:c>
      <x:c r="K19" s="41" t="str">
        <x:v>USDA_FDC_SR:173441</x:v>
      </x:c>
      <x:c r="L19" s="41" t="str">
        <x:v>USDA_FDC_SR_LEGACY_2018</x:v>
      </x:c>
      <x:c r="M19" s="41" t="str">
        <x:v>SR Legacy 04/2018</x:v>
      </x:c>
      <x:c r="N19" s="41" t="str">
        <x:v>https://fdc.nal.usda.gov/fdc-app.html#/food-details/173441/nutrients</x:v>
      </x:c>
      <x:c r="O19" s="41" t="str">
        <x:v>4</x:v>
      </x:c>
      <x:c r="P19" s="41" t="str">
        <x:v>added_sugar; fiber_per_100g; vitamin_c_mg; vitamin_d_mcg</x:v>
      </x:c>
      <x:c r="Q19" s="41" t="str">
        <x:v>42.0</x:v>
      </x:c>
      <x:c r="R19" s="41" t="str">
        <x:v>3.37</x:v>
      </x:c>
      <x:c r="S19" s="41" t="str">
        <x:v>0.97</x:v>
      </x:c>
      <x:c r="T19" s="41" t="str">
        <x:v>4.99</x:v>
      </x:c>
      <x:c r="U19" s="41" t="str">
        <x:v>0</x:v>
      </x:c>
      <x:c r="V19" s="41" t="str">
        <x:v>44.0</x:v>
      </x:c>
      <x:c r="W19" s="41" t="str">
        <x:v>0.1118</x:v>
      </x:c>
      <x:c r="X19" s="41" t="str">
        <x:v>повседневный базовый продукт; предполагаемых нулей: 4; проверить корректность состояния продукта</x:v>
      </x:c>
      <x:c r="Y19" s="38" t="str">
        <x:v>NOT_REVIEWED</x:v>
      </x:c>
      <x:c r="Z19" s="38" t="str">
        <x:v>NOT_REVIEWED</x:v>
      </x:c>
      <x:c r="AA19" s="38" t="str">
        <x:v>NOT_REVIEWED</x:v>
      </x:c>
      <x:c r="AB19" s="38" t="str">
        <x:v>NOT_REVIEWED</x:v>
      </x:c>
      <x:c r="AC19" s="38" t="str">
        <x:v>NOT_REVIEWED</x:v>
      </x:c>
      <x:c r="AD19" s="38" t="str">
        <x:v>NOT_REVIEWED</x:v>
      </x:c>
      <x:c r="AE19" s="38" t="str">
        <x:v>NOT_REVIEWED</x:v>
      </x:c>
      <x:c r="AF19" s="38" t="str">
        <x:v>NOT_REVIEWED</x:v>
      </x:c>
      <x:c r="AG19" s="38" t="str">
        <x:v>NOT_REVIEWED</x:v>
      </x:c>
      <x:c r="AH19" s="41" t="str"/>
      <x:c r="AI19" s="41" t="str"/>
      <x:c r="AJ19" s="41" t="str"/>
      <x:c r="AK19" s="41" t="str"/>
      <x:c r="AL19" s="41" t="str"/>
    </x:row>
    <x:row r="20" ht="144" hidden="0" customHeight="1">
      <x:c r="A20" s="38" t="str">
        <x:v>19</x:v>
      </x:c>
      <x:c r="B20" s="38" t="str">
        <x:v>Молочные продукты и яйца</x:v>
      </x:c>
      <x:c r="C20" s="41" t="str">
        <x:v>milk_3_2_pct</x:v>
      </x:c>
      <x:c r="D20" s="41" t="str">
        <x:v>Молоко 3,2% жирности</x:v>
      </x:c>
      <x:c r="E20" s="41" t="str">
        <x:v>Dairy</x:v>
      </x:c>
      <x:c r="F20" s="41" t="str">
        <x:v>raw</x:v>
      </x:c>
      <x:c r="G20" s="38" t="str">
        <x:v>MEDIUM</x:v>
      </x:c>
      <x:c r="H20" s="38" t="str">
        <x:v>0.73</x:v>
      </x:c>
      <x:c r="I20" s="38" t="str">
        <x:v>CONDITIONALLY_ACCEPTED</x:v>
      </x:c>
      <x:c r="J20" s="41" t="str">
        <x:v>MIXED_SOURCE</x:v>
      </x:c>
      <x:c r="K20" s="41" t="str">
        <x:v>USDA_FDC_SR:171265</x:v>
      </x:c>
      <x:c r="L20" s="41" t="str">
        <x:v>USDA Standard Release via MyFoodData/FDC</x:v>
      </x:c>
      <x:c r="M20" s="41" t="str">
        <x:v>v5.3.68 metadata completion, 2026-07-08</x:v>
      </x:c>
      <x:c r="N20" s="41" t="str">
        <x:v>https://tools.myfooddata.com/nutrition-facts/171265/wt9</x:v>
      </x:c>
      <x:c r="O20" s="41" t="str">
        <x:v>4</x:v>
      </x:c>
      <x:c r="P20" s="41" t="str">
        <x:v>added_sugar; fiber_per_100g; vitamin_c_mg; vitamin_d_mcg</x:v>
      </x:c>
      <x:c r="Q20" s="41" t="str">
        <x:v>60.0</x:v>
      </x:c>
      <x:c r="R20" s="41" t="str">
        <x:v>3.1</x:v>
      </x:c>
      <x:c r="S20" s="41" t="str">
        <x:v>3.2</x:v>
      </x:c>
      <x:c r="T20" s="41" t="str">
        <x:v>4.8</x:v>
      </x:c>
      <x:c r="U20" s="41" t="str">
        <x:v>0</x:v>
      </x:c>
      <x:c r="V20" s="41" t="str">
        <x:v>44.0</x:v>
      </x:c>
      <x:c r="W20" s="41" t="str">
        <x:v>0.1118</x:v>
      </x:c>
      <x:c r="X20" s="41" t="str">
        <x:v>повседневный базовый продукт; предполагаемых нулей: 4; проверить корректность состояния продукта</x:v>
      </x:c>
      <x:c r="Y20" s="38" t="str">
        <x:v>NOT_REVIEWED</x:v>
      </x:c>
      <x:c r="Z20" s="38" t="str">
        <x:v>NOT_REVIEWED</x:v>
      </x:c>
      <x:c r="AA20" s="38" t="str">
        <x:v>NOT_REVIEWED</x:v>
      </x:c>
      <x:c r="AB20" s="38" t="str">
        <x:v>NOT_REVIEWED</x:v>
      </x:c>
      <x:c r="AC20" s="38" t="str">
        <x:v>NOT_REVIEWED</x:v>
      </x:c>
      <x:c r="AD20" s="38" t="str">
        <x:v>NOT_REVIEWED</x:v>
      </x:c>
      <x:c r="AE20" s="38" t="str">
        <x:v>NOT_REVIEWED</x:v>
      </x:c>
      <x:c r="AF20" s="38" t="str">
        <x:v>NOT_REVIEWED</x:v>
      </x:c>
      <x:c r="AG20" s="38" t="str">
        <x:v>NOT_REVIEWED</x:v>
      </x:c>
      <x:c r="AH20" s="41" t="str"/>
      <x:c r="AI20" s="41" t="str"/>
      <x:c r="AJ20" s="41" t="str"/>
      <x:c r="AK20" s="41" t="str"/>
      <x:c r="AL20" s="41" t="str"/>
    </x:row>
    <x:row r="21" ht="144" hidden="0" customHeight="1">
      <x:c r="A21" s="38" t="str">
        <x:v>20</x:v>
      </x:c>
      <x:c r="B21" s="38" t="str">
        <x:v>Молочные продукты и яйца</x:v>
      </x:c>
      <x:c r="C21" s="41" t="str">
        <x:v>milk_lactose_free_1_8_pct</x:v>
      </x:c>
      <x:c r="D21" s="41" t="str">
        <x:v>Молоко безлактозное 1,5–1,8%</x:v>
      </x:c>
      <x:c r="E21" s="41" t="str">
        <x:v>Dairy</x:v>
      </x:c>
      <x:c r="F21" s="41" t="str">
        <x:v>raw</x:v>
      </x:c>
      <x:c r="G21" s="38" t="str">
        <x:v>MEDIUM</x:v>
      </x:c>
      <x:c r="H21" s="38" t="str">
        <x:v>0.73</x:v>
      </x:c>
      <x:c r="I21" s="38" t="str">
        <x:v>CONDITIONALLY_ACCEPTED</x:v>
      </x:c>
      <x:c r="J21" s="41" t="str">
        <x:v>MIXED_SOURCE</x:v>
      </x:c>
      <x:c r="K21" s="41" t="str">
        <x:v>USDA_FDC_FNDDS:2705391</x:v>
      </x:c>
      <x:c r="L21" s="41" t="str">
        <x:v>USDA_FDC_FNDDS_2021_2023</x:v>
      </x:c>
      <x:c r="M21" s="41" t="str">
        <x:v>FNDDS 2021-2023</x:v>
      </x:c>
      <x:c r="N21" s="41" t="str">
        <x:v>https://fdc.nal.usda.gov/fdc-app.html#/food-details/2705391/nutrients</x:v>
      </x:c>
      <x:c r="O21" s="41" t="str">
        <x:v>5</x:v>
      </x:c>
      <x:c r="P21" s="41" t="str">
        <x:v>added_sugar; fiber_per_100g; iron_mg; manganese_mg; vitamin_b5_mg</x:v>
      </x:c>
      <x:c r="Q21" s="41" t="str">
        <x:v>50.0</x:v>
      </x:c>
      <x:c r="R21" s="41" t="str">
        <x:v>3.36</x:v>
      </x:c>
      <x:c r="S21" s="41" t="str">
        <x:v>1.9</x:v>
      </x:c>
      <x:c r="T21" s="41" t="str">
        <x:v>4.9</x:v>
      </x:c>
      <x:c r="U21" s="41" t="str">
        <x:v>0</x:v>
      </x:c>
      <x:c r="V21" s="41" t="str">
        <x:v>39.0</x:v>
      </x:c>
      <x:c r="W21" s="41" t="str">
        <x:v>0.0991</x:v>
      </x:c>
      <x:c r="X21" s="41" t="str">
        <x:v>повседневный базовый продукт; предполагаемых нулей: 5; проверить корректность состояния продукта</x:v>
      </x:c>
      <x:c r="Y21" s="38" t="str">
        <x:v>NOT_REVIEWED</x:v>
      </x:c>
      <x:c r="Z21" s="38" t="str">
        <x:v>NOT_REVIEWED</x:v>
      </x:c>
      <x:c r="AA21" s="38" t="str">
        <x:v>NOT_REVIEWED</x:v>
      </x:c>
      <x:c r="AB21" s="38" t="str">
        <x:v>NOT_REVIEWED</x:v>
      </x:c>
      <x:c r="AC21" s="38" t="str">
        <x:v>NOT_REVIEWED</x:v>
      </x:c>
      <x:c r="AD21" s="38" t="str">
        <x:v>NOT_REVIEWED</x:v>
      </x:c>
      <x:c r="AE21" s="38" t="str">
        <x:v>NOT_REVIEWED</x:v>
      </x:c>
      <x:c r="AF21" s="38" t="str">
        <x:v>NOT_REVIEWED</x:v>
      </x:c>
      <x:c r="AG21" s="38" t="str">
        <x:v>NOT_REVIEWED</x:v>
      </x:c>
      <x:c r="AH21" s="41" t="str"/>
      <x:c r="AI21" s="41" t="str"/>
      <x:c r="AJ21" s="41" t="str"/>
      <x:c r="AK21" s="41" t="str"/>
      <x:c r="AL21" s="41" t="str"/>
    </x:row>
    <x:row r="22" ht="108" hidden="0" customHeight="1">
      <x:c r="A22" s="38" t="str">
        <x:v>21</x:v>
      </x:c>
      <x:c r="B22" s="38" t="str">
        <x:v>Молочные продукты и яйца</x:v>
      </x:c>
      <x:c r="C22" s="41" t="str">
        <x:v>kefir_1_pct</x:v>
      </x:c>
      <x:c r="D22" s="41" t="str">
        <x:v>Кефир 1% жирности</x:v>
      </x:c>
      <x:c r="E22" s="41" t="str">
        <x:v>Dairy</x:v>
      </x:c>
      <x:c r="F22" s="41" t="str">
        <x:v>raw</x:v>
      </x:c>
      <x:c r="G22" s="38" t="str">
        <x:v>HIGH</x:v>
      </x:c>
      <x:c r="H22" s="38" t="str">
        <x:v>0.98</x:v>
      </x:c>
      <x:c r="I22" s="38" t="str">
        <x:v>VERIFIED</x:v>
      </x:c>
      <x:c r="J22" s="41" t="str">
        <x:v>PRIMARY_DATASET</x:v>
      </x:c>
      <x:c r="K22" s="41" t="str">
        <x:v>USDA_FDC_SR:170904</x:v>
      </x:c>
      <x:c r="L22" s="41" t="str">
        <x:v>USDA_FDC_SR_LEGACY_2018</x:v>
      </x:c>
      <x:c r="M22" s="41" t="str">
        <x:v>SR Legacy 04/2018</x:v>
      </x:c>
      <x:c r="N22" s="41" t="str">
        <x:v>https://fdc.nal.usda.gov/fdc-app.html#/food-details/170904/nutrients</x:v>
      </x:c>
      <x:c r="O22" s="41" t="str">
        <x:v>0</x:v>
      </x:c>
      <x:c r="P22" s="41" t="str"/>
      <x:c r="Q22" s="41" t="str">
        <x:v>43.0</x:v>
      </x:c>
      <x:c r="R22" s="41" t="str">
        <x:v>3.79</x:v>
      </x:c>
      <x:c r="S22" s="41" t="str">
        <x:v>1.02</x:v>
      </x:c>
      <x:c r="T22" s="41" t="str">
        <x:v>4.77</x:v>
      </x:c>
      <x:c r="U22" s="41" t="str">
        <x:v>0</x:v>
      </x:c>
      <x:c r="V22" s="41" t="str">
        <x:v>40.0</x:v>
      </x:c>
      <x:c r="W22" s="41" t="str">
        <x:v>0.1016</x:v>
      </x:c>
      <x:c r="X22" s="41" t="str">
        <x:v>повседневный базовый продукт; проверить корректность состояния продукта</x:v>
      </x:c>
      <x:c r="Y22" s="38" t="str">
        <x:v>NOT_REVIEWED</x:v>
      </x:c>
      <x:c r="Z22" s="38" t="str">
        <x:v>NOT_REVIEWED</x:v>
      </x:c>
      <x:c r="AA22" s="38" t="str">
        <x:v>NOT_REVIEWED</x:v>
      </x:c>
      <x:c r="AB22" s="38" t="str">
        <x:v>NOT_REVIEWED</x:v>
      </x:c>
      <x:c r="AC22" s="38" t="str">
        <x:v>NOT_REVIEWED</x:v>
      </x:c>
      <x:c r="AD22" s="38" t="str">
        <x:v>NOT_REVIEWED</x:v>
      </x:c>
      <x:c r="AE22" s="38" t="str">
        <x:v>NOT_REVIEWED</x:v>
      </x:c>
      <x:c r="AF22" s="38" t="str">
        <x:v>NOT_REVIEWED</x:v>
      </x:c>
      <x:c r="AG22" s="38" t="str">
        <x:v>NOT_REVIEWED</x:v>
      </x:c>
      <x:c r="AH22" s="41" t="str"/>
      <x:c r="AI22" s="41" t="str"/>
      <x:c r="AJ22" s="41" t="str"/>
      <x:c r="AK22" s="41" t="str"/>
      <x:c r="AL22" s="41" t="str"/>
    </x:row>
    <x:row r="23" ht="144" hidden="0" customHeight="1">
      <x:c r="A23" s="38" t="str">
        <x:v>22</x:v>
      </x:c>
      <x:c r="B23" s="38" t="str">
        <x:v>Молочные продукты и яйца</x:v>
      </x:c>
      <x:c r="C23" s="41" t="str">
        <x:v>yogurt_plain_1_5_pct</x:v>
      </x:c>
      <x:c r="D23" s="41" t="str">
        <x:v>Йогурт натуральный 1,5% (без сахара)</x:v>
      </x:c>
      <x:c r="E23" s="41" t="str">
        <x:v>Dairy</x:v>
      </x:c>
      <x:c r="F23" s="41" t="str">
        <x:v>raw</x:v>
      </x:c>
      <x:c r="G23" s="38" t="str">
        <x:v>MEDIUM</x:v>
      </x:c>
      <x:c r="H23" s="38" t="str">
        <x:v>0.73</x:v>
      </x:c>
      <x:c r="I23" s="38" t="str">
        <x:v>CONDITIONALLY_ACCEPTED</x:v>
      </x:c>
      <x:c r="J23" s="41" t="str">
        <x:v>MIXED_SOURCE</x:v>
      </x:c>
      <x:c r="K23" s="41" t="str">
        <x:v>USDA_FDC_SR:170886</x:v>
      </x:c>
      <x:c r="L23" s="41" t="str">
        <x:v>USDA_FDC_SR_LEGACY_2018</x:v>
      </x:c>
      <x:c r="M23" s="41" t="str">
        <x:v>SR Legacy 04/2018</x:v>
      </x:c>
      <x:c r="N23" s="41" t="str">
        <x:v>https://fdc.nal.usda.gov/fdc-app.html#/food-details/170886/nutrients</x:v>
      </x:c>
      <x:c r="O23" s="41" t="str">
        <x:v>3</x:v>
      </x:c>
      <x:c r="P23" s="41" t="str">
        <x:v>added_sugar; fiber_per_100g; vitamin_d_mcg</x:v>
      </x:c>
      <x:c r="Q23" s="41" t="str">
        <x:v>63.0</x:v>
      </x:c>
      <x:c r="R23" s="41" t="str">
        <x:v>5.25</x:v>
      </x:c>
      <x:c r="S23" s="41" t="str">
        <x:v>1.55</x:v>
      </x:c>
      <x:c r="T23" s="41" t="str">
        <x:v>7.04</x:v>
      </x:c>
      <x:c r="U23" s="41" t="str">
        <x:v>0</x:v>
      </x:c>
      <x:c r="V23" s="41" t="str">
        <x:v>70.0</x:v>
      </x:c>
      <x:c r="W23" s="41" t="str">
        <x:v>0.1778</x:v>
      </x:c>
      <x:c r="X23" s="41" t="str">
        <x:v>повседневный базовый продукт; предполагаемых нулей: 3; проверить корректность состояния продукта</x:v>
      </x:c>
      <x:c r="Y23" s="38" t="str">
        <x:v>NOT_REVIEWED</x:v>
      </x:c>
      <x:c r="Z23" s="38" t="str">
        <x:v>NOT_REVIEWED</x:v>
      </x:c>
      <x:c r="AA23" s="38" t="str">
        <x:v>NOT_REVIEWED</x:v>
      </x:c>
      <x:c r="AB23" s="38" t="str">
        <x:v>NOT_REVIEWED</x:v>
      </x:c>
      <x:c r="AC23" s="38" t="str">
        <x:v>NOT_REVIEWED</x:v>
      </x:c>
      <x:c r="AD23" s="38" t="str">
        <x:v>NOT_REVIEWED</x:v>
      </x:c>
      <x:c r="AE23" s="38" t="str">
        <x:v>NOT_REVIEWED</x:v>
      </x:c>
      <x:c r="AF23" s="38" t="str">
        <x:v>NOT_REVIEWED</x:v>
      </x:c>
      <x:c r="AG23" s="38" t="str">
        <x:v>NOT_REVIEWED</x:v>
      </x:c>
      <x:c r="AH23" s="41" t="str"/>
      <x:c r="AI23" s="41" t="str"/>
      <x:c r="AJ23" s="41" t="str"/>
      <x:c r="AK23" s="41" t="str"/>
      <x:c r="AL23" s="41" t="str"/>
    </x:row>
    <x:row r="24" ht="144" hidden="0" customHeight="1">
      <x:c r="A24" s="38" t="str">
        <x:v>23</x:v>
      </x:c>
      <x:c r="B24" s="38" t="str">
        <x:v>Молочные продукты и яйца</x:v>
      </x:c>
      <x:c r="C24" s="41" t="str">
        <x:v>yogurt_plain_3_2_pct</x:v>
      </x:c>
      <x:c r="D24" s="41" t="str">
        <x:v>Йогурт натуральный 3,2% (без сахара)</x:v>
      </x:c>
      <x:c r="E24" s="41" t="str">
        <x:v>Dairy</x:v>
      </x:c>
      <x:c r="F24" s="41" t="str">
        <x:v>raw</x:v>
      </x:c>
      <x:c r="G24" s="38" t="str">
        <x:v>MEDIUM</x:v>
      </x:c>
      <x:c r="H24" s="38" t="str">
        <x:v>0.63</x:v>
      </x:c>
      <x:c r="I24" s="38" t="str">
        <x:v>CONDITIONALLY_ACCEPTED</x:v>
      </x:c>
      <x:c r="J24" s="41" t="str">
        <x:v>BORROWED_PROXY</x:v>
      </x:c>
      <x:c r="K24" s="41" t="str">
        <x:v>USDA_FDC_SR:171284</x:v>
      </x:c>
      <x:c r="L24" s="41" t="str">
        <x:v>USDA_FDC_SR_LEGACY_2018</x:v>
      </x:c>
      <x:c r="M24" s="41" t="str">
        <x:v>SR Legacy 04/2018</x:v>
      </x:c>
      <x:c r="N24" s="41" t="str">
        <x:v>https://fdc.nal.usda.gov/fdc-app.html#/food-details/171284/nutrients</x:v>
      </x:c>
      <x:c r="O24" s="41" t="str">
        <x:v>2</x:v>
      </x:c>
      <x:c r="P24" s="41" t="str">
        <x:v>added_sugar; fiber_per_100g</x:v>
      </x:c>
      <x:c r="Q24" s="41" t="str">
        <x:v>61.0</x:v>
      </x:c>
      <x:c r="R24" s="41" t="str">
        <x:v>3.47</x:v>
      </x:c>
      <x:c r="S24" s="41" t="str">
        <x:v>3.25</x:v>
      </x:c>
      <x:c r="T24" s="41" t="str">
        <x:v>4.66</x:v>
      </x:c>
      <x:c r="U24" s="41" t="str">
        <x:v>0</x:v>
      </x:c>
      <x:c r="V24" s="41" t="str">
        <x:v>46.0</x:v>
      </x:c>
      <x:c r="W24" s="41" t="str">
        <x:v>0.1168</x:v>
      </x:c>
      <x:c r="X24" s="41" t="str">
        <x:v>повседневный базовый продукт; предполагаемых нулей: 2; проверить корректность состояния продукта</x:v>
      </x:c>
      <x:c r="Y24" s="38" t="str">
        <x:v>NOT_REVIEWED</x:v>
      </x:c>
      <x:c r="Z24" s="38" t="str">
        <x:v>NOT_REVIEWED</x:v>
      </x:c>
      <x:c r="AA24" s="38" t="str">
        <x:v>NOT_REVIEWED</x:v>
      </x:c>
      <x:c r="AB24" s="38" t="str">
        <x:v>NOT_REVIEWED</x:v>
      </x:c>
      <x:c r="AC24" s="38" t="str">
        <x:v>NOT_REVIEWED</x:v>
      </x:c>
      <x:c r="AD24" s="38" t="str">
        <x:v>NOT_REVIEWED</x:v>
      </x:c>
      <x:c r="AE24" s="38" t="str">
        <x:v>NOT_REVIEWED</x:v>
      </x:c>
      <x:c r="AF24" s="38" t="str">
        <x:v>NOT_REVIEWED</x:v>
      </x:c>
      <x:c r="AG24" s="38" t="str">
        <x:v>NOT_REVIEWED</x:v>
      </x:c>
      <x:c r="AH24" s="41" t="str"/>
      <x:c r="AI24" s="41" t="str"/>
      <x:c r="AJ24" s="41" t="str"/>
      <x:c r="AK24" s="41" t="str"/>
      <x:c r="AL24" s="41" t="str"/>
    </x:row>
    <x:row r="25" ht="108" hidden="0" customHeight="1">
      <x:c r="A25" s="38" t="str">
        <x:v>24</x:v>
      </x:c>
      <x:c r="B25" s="38" t="str">
        <x:v>Молочные продукты и яйца</x:v>
      </x:c>
      <x:c r="C25" s="41" t="str">
        <x:v>yogurt_greek_plain</x:v>
      </x:c>
      <x:c r="D25" s="41" t="str">
        <x:v>Йогурт греческий, без сахара</x:v>
      </x:c>
      <x:c r="E25" s="41" t="str">
        <x:v>Dairy</x:v>
      </x:c>
      <x:c r="F25" s="41" t="str">
        <x:v>raw</x:v>
      </x:c>
      <x:c r="G25" s="38" t="str">
        <x:v>HIGH</x:v>
      </x:c>
      <x:c r="H25" s="38" t="str">
        <x:v>0.98</x:v>
      </x:c>
      <x:c r="I25" s="38" t="str">
        <x:v>VERIFIED</x:v>
      </x:c>
      <x:c r="J25" s="41" t="str">
        <x:v>PRIMARY_DATASET</x:v>
      </x:c>
      <x:c r="K25" s="41" t="str">
        <x:v>USDA_FDC_SR:170903</x:v>
      </x:c>
      <x:c r="L25" s="41" t="str">
        <x:v>USDA_FDC_SR_LEGACY_2018</x:v>
      </x:c>
      <x:c r="M25" s="41" t="str">
        <x:v>SR Legacy 04/2018</x:v>
      </x:c>
      <x:c r="N25" s="41" t="str">
        <x:v>https://fdc.nal.usda.gov/fdc-app.html#/food-details/170903/nutrients</x:v>
      </x:c>
      <x:c r="O25" s="41" t="str">
        <x:v>0</x:v>
      </x:c>
      <x:c r="P25" s="41" t="str"/>
      <x:c r="Q25" s="41" t="str">
        <x:v>73.0</x:v>
      </x:c>
      <x:c r="R25" s="41" t="str">
        <x:v>9.95</x:v>
      </x:c>
      <x:c r="S25" s="41" t="str">
        <x:v>1.92</x:v>
      </x:c>
      <x:c r="T25" s="41" t="str">
        <x:v>3.94</x:v>
      </x:c>
      <x:c r="U25" s="41" t="str">
        <x:v>0</x:v>
      </x:c>
      <x:c r="V25" s="41" t="str">
        <x:v>34.0</x:v>
      </x:c>
      <x:c r="W25" s="41" t="str">
        <x:v>0.0864</x:v>
      </x:c>
      <x:c r="X25" s="41" t="str">
        <x:v>повседневный базовый продукт; проверить корректность состояния продукта</x:v>
      </x:c>
      <x:c r="Y25" s="38" t="str">
        <x:v>NOT_REVIEWED</x:v>
      </x:c>
      <x:c r="Z25" s="38" t="str">
        <x:v>NOT_REVIEWED</x:v>
      </x:c>
      <x:c r="AA25" s="38" t="str">
        <x:v>NOT_REVIEWED</x:v>
      </x:c>
      <x:c r="AB25" s="38" t="str">
        <x:v>NOT_REVIEWED</x:v>
      </x:c>
      <x:c r="AC25" s="38" t="str">
        <x:v>NOT_REVIEWED</x:v>
      </x:c>
      <x:c r="AD25" s="38" t="str">
        <x:v>NOT_REVIEWED</x:v>
      </x:c>
      <x:c r="AE25" s="38" t="str">
        <x:v>NOT_REVIEWED</x:v>
      </x:c>
      <x:c r="AF25" s="38" t="str">
        <x:v>NOT_REVIEWED</x:v>
      </x:c>
      <x:c r="AG25" s="38" t="str">
        <x:v>NOT_REVIEWED</x:v>
      </x:c>
      <x:c r="AH25" s="41" t="str"/>
      <x:c r="AI25" s="41" t="str"/>
      <x:c r="AJ25" s="41" t="str"/>
      <x:c r="AK25" s="41" t="str"/>
      <x:c r="AL25" s="41" t="str"/>
    </x:row>
    <x:row r="26" ht="144" hidden="0" customHeight="1">
      <x:c r="A26" s="38" t="str">
        <x:v>25</x:v>
      </x:c>
      <x:c r="B26" s="38" t="str">
        <x:v>Молочные продукты и яйца</x:v>
      </x:c>
      <x:c r="C26" s="41" t="str">
        <x:v>tvorog_5_pct</x:v>
      </x:c>
      <x:c r="D26" s="41" t="str">
        <x:v>Творог 5%</x:v>
      </x:c>
      <x:c r="E26" s="41" t="str">
        <x:v>Dairy</x:v>
      </x:c>
      <x:c r="F26" s="41" t="str">
        <x:v>raw</x:v>
      </x:c>
      <x:c r="G26" s="38" t="str">
        <x:v>MEDIUM</x:v>
      </x:c>
      <x:c r="H26" s="38" t="str">
        <x:v>0.73</x:v>
      </x:c>
      <x:c r="I26" s="38" t="str">
        <x:v>CONDITIONALLY_ACCEPTED</x:v>
      </x:c>
      <x:c r="J26" s="41" t="str">
        <x:v>MIXED_SOURCE</x:v>
      </x:c>
      <x:c r="K26" s="41" t="str">
        <x:v>v3.0:tvorog_5_pct</x:v>
      </x:c>
      <x:c r="L26" s="41" t="str">
        <x:v>FDC/cottage cheese proxy</x:v>
      </x:c>
      <x:c r="M26" s="41" t="str">
        <x:v>v3.0 Perekrestok complex P0 expansion</x:v>
      </x:c>
      <x:c r="N26" s="41" t="str">
        <x:v>https://www.perekrestok.ru/cat/c/113/moloko-syr-ajca</x:v>
      </x:c>
      <x:c r="O26" s="41" t="str">
        <x:v>5</x:v>
      </x:c>
      <x:c r="P26" s="41" t="str">
        <x:v>added_sugar; copper_mg; fiber_per_100g; iron_mg; vitamin_c_mg</x:v>
      </x:c>
      <x:c r="Q26" s="41" t="str">
        <x:v>121.0</x:v>
      </x:c>
      <x:c r="R26" s="41" t="str">
        <x:v>17.0</x:v>
      </x:c>
      <x:c r="S26" s="41" t="str">
        <x:v>5.0</x:v>
      </x:c>
      <x:c r="T26" s="41" t="str">
        <x:v>2.0</x:v>
      </x:c>
      <x:c r="U26" s="41" t="str">
        <x:v>0</x:v>
      </x:c>
      <x:c r="V26" s="41" t="str">
        <x:v>39.3701</x:v>
      </x:c>
      <x:c r="W26" s="41" t="str">
        <x:v>0.1</x:v>
      </x:c>
      <x:c r="X26" s="41" t="str">
        <x:v>повседневный базовый продукт; предполагаемых нулей: 5; проверить корректность состояния продукта</x:v>
      </x:c>
      <x:c r="Y26" s="38" t="str">
        <x:v>NOT_REVIEWED</x:v>
      </x:c>
      <x:c r="Z26" s="38" t="str">
        <x:v>NOT_REVIEWED</x:v>
      </x:c>
      <x:c r="AA26" s="38" t="str">
        <x:v>NOT_REVIEWED</x:v>
      </x:c>
      <x:c r="AB26" s="38" t="str">
        <x:v>NOT_REVIEWED</x:v>
      </x:c>
      <x:c r="AC26" s="38" t="str">
        <x:v>NOT_REVIEWED</x:v>
      </x:c>
      <x:c r="AD26" s="38" t="str">
        <x:v>NOT_REVIEWED</x:v>
      </x:c>
      <x:c r="AE26" s="38" t="str">
        <x:v>NOT_REVIEWED</x:v>
      </x:c>
      <x:c r="AF26" s="38" t="str">
        <x:v>NOT_REVIEWED</x:v>
      </x:c>
      <x:c r="AG26" s="38" t="str">
        <x:v>NOT_REVIEWED</x:v>
      </x:c>
      <x:c r="AH26" s="41" t="str"/>
      <x:c r="AI26" s="41" t="str"/>
      <x:c r="AJ26" s="41" t="str"/>
      <x:c r="AK26" s="41" t="str"/>
      <x:c r="AL26" s="41" t="str"/>
    </x:row>
    <x:row r="27" ht="156" hidden="0" customHeight="1">
      <x:c r="A27" s="38" t="str">
        <x:v>26</x:v>
      </x:c>
      <x:c r="B27" s="38" t="str">
        <x:v>Молочные продукты и яйца</x:v>
      </x:c>
      <x:c r="C27" s="41" t="str">
        <x:v>tvorog_9_pct</x:v>
      </x:c>
      <x:c r="D27" s="41" t="str">
        <x:v>Творог 9%</x:v>
      </x:c>
      <x:c r="E27" s="41" t="str">
        <x:v>Dairy</x:v>
      </x:c>
      <x:c r="F27" s="41" t="str">
        <x:v>raw</x:v>
      </x:c>
      <x:c r="G27" s="38" t="str">
        <x:v>MEDIUM</x:v>
      </x:c>
      <x:c r="H27" s="38" t="str">
        <x:v>0.73</x:v>
      </x:c>
      <x:c r="I27" s="38" t="str">
        <x:v>CONDITIONALLY_ACCEPTED</x:v>
      </x:c>
      <x:c r="J27" s="41" t="str">
        <x:v>MIXED_SOURCE</x:v>
      </x:c>
      <x:c r="K27" s="41" t="str">
        <x:v>v3.0:tvorog_9_pct</x:v>
      </x:c>
      <x:c r="L27" s="41" t="str">
        <x:v>FDC/cottage cheese proxy</x:v>
      </x:c>
      <x:c r="M27" s="41" t="str">
        <x:v>v3.0 Perekrestok complex P0 expansion</x:v>
      </x:c>
      <x:c r="N27" s="41" t="str">
        <x:v>https://www.perekrestok.ru/cat/c/113/moloko-syr-ajca</x:v>
      </x:c>
      <x:c r="O27" s="41" t="str">
        <x:v>7</x:v>
      </x:c>
      <x:c r="P27" s="41" t="str">
        <x:v>added_sugar; copper_mg; fiber_per_100g; iron_mg; manganese_mg; vitamin_c_mg; vitamin_d_mcg</x:v>
      </x:c>
      <x:c r="Q27" s="41" t="str">
        <x:v>159.0</x:v>
      </x:c>
      <x:c r="R27" s="41" t="str">
        <x:v>16.7</x:v>
      </x:c>
      <x:c r="S27" s="41" t="str">
        <x:v>9.0</x:v>
      </x:c>
      <x:c r="T27" s="41" t="str">
        <x:v>2.0</x:v>
      </x:c>
      <x:c r="U27" s="41" t="str">
        <x:v>0</x:v>
      </x:c>
      <x:c r="V27" s="41" t="str">
        <x:v>39.3701</x:v>
      </x:c>
      <x:c r="W27" s="41" t="str">
        <x:v>0.1</x:v>
      </x:c>
      <x:c r="X27" s="41" t="str">
        <x:v>повседневный базовый продукт; предполагаемых нулей: 7; проверить корректность состояния продукта</x:v>
      </x:c>
      <x:c r="Y27" s="38" t="str">
        <x:v>NOT_REVIEWED</x:v>
      </x:c>
      <x:c r="Z27" s="38" t="str">
        <x:v>NOT_REVIEWED</x:v>
      </x:c>
      <x:c r="AA27" s="38" t="str">
        <x:v>NOT_REVIEWED</x:v>
      </x:c>
      <x:c r="AB27" s="38" t="str">
        <x:v>NOT_REVIEWED</x:v>
      </x:c>
      <x:c r="AC27" s="38" t="str">
        <x:v>NOT_REVIEWED</x:v>
      </x:c>
      <x:c r="AD27" s="38" t="str">
        <x:v>NOT_REVIEWED</x:v>
      </x:c>
      <x:c r="AE27" s="38" t="str">
        <x:v>NOT_REVIEWED</x:v>
      </x:c>
      <x:c r="AF27" s="38" t="str">
        <x:v>NOT_REVIEWED</x:v>
      </x:c>
      <x:c r="AG27" s="38" t="str">
        <x:v>NOT_REVIEWED</x:v>
      </x:c>
      <x:c r="AH27" s="41" t="str"/>
      <x:c r="AI27" s="41" t="str"/>
      <x:c r="AJ27" s="41" t="str"/>
      <x:c r="AK27" s="41" t="str"/>
      <x:c r="AL27" s="41" t="str"/>
    </x:row>
    <x:row r="28" ht="144" hidden="0" customHeight="1">
      <x:c r="A28" s="38" t="str">
        <x:v>27</x:v>
      </x:c>
      <x:c r="B28" s="38" t="str">
        <x:v>Молочные продукты и яйца</x:v>
      </x:c>
      <x:c r="C28" s="41" t="str">
        <x:v>tvorog_lowfat_0_1_8_pct</x:v>
      </x:c>
      <x:c r="D28" s="41" t="str">
        <x:v>Творог обезжиренный 0–1,8%</x:v>
      </x:c>
      <x:c r="E28" s="41" t="str">
        <x:v>Dairy</x:v>
      </x:c>
      <x:c r="F28" s="41" t="str">
        <x:v>raw</x:v>
      </x:c>
      <x:c r="G28" s="38" t="str">
        <x:v>MEDIUM</x:v>
      </x:c>
      <x:c r="H28" s="38" t="str">
        <x:v>0.73</x:v>
      </x:c>
      <x:c r="I28" s="38" t="str">
        <x:v>CONDITIONALLY_ACCEPTED</x:v>
      </x:c>
      <x:c r="J28" s="41" t="str">
        <x:v>MIXED_SOURCE</x:v>
      </x:c>
      <x:c r="K28" s="41" t="str">
        <x:v>v3.0:tvorog_lowfat_0_1_8_pct</x:v>
      </x:c>
      <x:c r="L28" s="41" t="str">
        <x:v>FDC/cottage cheese proxy</x:v>
      </x:c>
      <x:c r="M28" s="41" t="str">
        <x:v>v3.0 Perekrestok complex P0 expansion</x:v>
      </x:c>
      <x:c r="N28" s="41" t="str">
        <x:v>https://www.perekrestok.ru/cat/c/113/moloko-syr-ajca</x:v>
      </x:c>
      <x:c r="O28" s="41" t="str">
        <x:v>5</x:v>
      </x:c>
      <x:c r="P28" s="41" t="str">
        <x:v>added_sugar; copper_mg; fiber_per_100g; iron_mg; vitamin_c_mg</x:v>
      </x:c>
      <x:c r="Q28" s="41" t="str">
        <x:v>90.0</x:v>
      </x:c>
      <x:c r="R28" s="41" t="str">
        <x:v>18.0</x:v>
      </x:c>
      <x:c r="S28" s="41" t="str">
        <x:v>1.8</x:v>
      </x:c>
      <x:c r="T28" s="41" t="str">
        <x:v>3.3</x:v>
      </x:c>
      <x:c r="U28" s="41" t="str">
        <x:v>0</x:v>
      </x:c>
      <x:c r="V28" s="41" t="str">
        <x:v>39.3701</x:v>
      </x:c>
      <x:c r="W28" s="41" t="str">
        <x:v>0.1</x:v>
      </x:c>
      <x:c r="X28" s="41" t="str">
        <x:v>повседневный базовый продукт; предполагаемых нулей: 5; проверить корректность состояния продукта</x:v>
      </x:c>
      <x:c r="Y28" s="38" t="str">
        <x:v>NOT_REVIEWED</x:v>
      </x:c>
      <x:c r="Z28" s="38" t="str">
        <x:v>NOT_REVIEWED</x:v>
      </x:c>
      <x:c r="AA28" s="38" t="str">
        <x:v>NOT_REVIEWED</x:v>
      </x:c>
      <x:c r="AB28" s="38" t="str">
        <x:v>NOT_REVIEWED</x:v>
      </x:c>
      <x:c r="AC28" s="38" t="str">
        <x:v>NOT_REVIEWED</x:v>
      </x:c>
      <x:c r="AD28" s="38" t="str">
        <x:v>NOT_REVIEWED</x:v>
      </x:c>
      <x:c r="AE28" s="38" t="str">
        <x:v>NOT_REVIEWED</x:v>
      </x:c>
      <x:c r="AF28" s="38" t="str">
        <x:v>NOT_REVIEWED</x:v>
      </x:c>
      <x:c r="AG28" s="38" t="str">
        <x:v>NOT_REVIEWED</x:v>
      </x:c>
      <x:c r="AH28" s="41" t="str"/>
      <x:c r="AI28" s="41" t="str"/>
      <x:c r="AJ28" s="41" t="str"/>
      <x:c r="AK28" s="41" t="str"/>
      <x:c r="AL28" s="41" t="str"/>
    </x:row>
    <x:row r="29" ht="144" hidden="0" customHeight="1">
      <x:c r="A29" s="38" t="str">
        <x:v>28</x:v>
      </x:c>
      <x:c r="B29" s="38" t="str">
        <x:v>Молочные продукты и яйца</x:v>
      </x:c>
      <x:c r="C29" s="41" t="str">
        <x:v>sour_cream_15_pct</x:v>
      </x:c>
      <x:c r="D29" s="41" t="str">
        <x:v>Сметана 15% жирности</x:v>
      </x:c>
      <x:c r="E29" s="41" t="str">
        <x:v>Dairy</x:v>
      </x:c>
      <x:c r="F29" s="41" t="str">
        <x:v>raw</x:v>
      </x:c>
      <x:c r="G29" s="38" t="str">
        <x:v>MEDIUM</x:v>
      </x:c>
      <x:c r="H29" s="38" t="str">
        <x:v>0.73</x:v>
      </x:c>
      <x:c r="I29" s="38" t="str">
        <x:v>CONDITIONALLY_ACCEPTED</x:v>
      </x:c>
      <x:c r="J29" s="41" t="str">
        <x:v>MIXED_SOURCE</x:v>
      </x:c>
      <x:c r="K29" s="41" t="str">
        <x:v>USDA_FDC_SR:173442</x:v>
      </x:c>
      <x:c r="L29" s="41" t="str">
        <x:v>USDA_FDC_SR_LEGACY_2018</x:v>
      </x:c>
      <x:c r="M29" s="41" t="str">
        <x:v>SR Legacy 04/2018</x:v>
      </x:c>
      <x:c r="N29" s="41" t="str">
        <x:v>https://fdc.nal.usda.gov/fdc-app.html#/food-details/173442/nutrients</x:v>
      </x:c>
      <x:c r="O29" s="41" t="str">
        <x:v>2</x:v>
      </x:c>
      <x:c r="P29" s="41" t="str">
        <x:v>added_sugar; fiber_per_100g</x:v>
      </x:c>
      <x:c r="Q29" s="41" t="str">
        <x:v>181.0</x:v>
      </x:c>
      <x:c r="R29" s="41" t="str">
        <x:v>7.0</x:v>
      </x:c>
      <x:c r="S29" s="41" t="str">
        <x:v>14.1</x:v>
      </x:c>
      <x:c r="T29" s="41" t="str">
        <x:v>7.0</x:v>
      </x:c>
      <x:c r="U29" s="41" t="str">
        <x:v>0</x:v>
      </x:c>
      <x:c r="V29" s="41" t="str">
        <x:v>70.0</x:v>
      </x:c>
      <x:c r="W29" s="41" t="str">
        <x:v>0.1778</x:v>
      </x:c>
      <x:c r="X29" s="41" t="str">
        <x:v>повседневный базовый продукт; предполагаемых нулей: 2; проверить корректность состояния продукта</x:v>
      </x:c>
      <x:c r="Y29" s="38" t="str">
        <x:v>NOT_REVIEWED</x:v>
      </x:c>
      <x:c r="Z29" s="38" t="str">
        <x:v>NOT_REVIEWED</x:v>
      </x:c>
      <x:c r="AA29" s="38" t="str">
        <x:v>NOT_REVIEWED</x:v>
      </x:c>
      <x:c r="AB29" s="38" t="str">
        <x:v>NOT_REVIEWED</x:v>
      </x:c>
      <x:c r="AC29" s="38" t="str">
        <x:v>NOT_REVIEWED</x:v>
      </x:c>
      <x:c r="AD29" s="38" t="str">
        <x:v>NOT_REVIEWED</x:v>
      </x:c>
      <x:c r="AE29" s="38" t="str">
        <x:v>NOT_REVIEWED</x:v>
      </x:c>
      <x:c r="AF29" s="38" t="str">
        <x:v>NOT_REVIEWED</x:v>
      </x:c>
      <x:c r="AG29" s="38" t="str">
        <x:v>NOT_REVIEWED</x:v>
      </x:c>
      <x:c r="AH29" s="41" t="str"/>
      <x:c r="AI29" s="41" t="str"/>
      <x:c r="AJ29" s="41" t="str"/>
      <x:c r="AK29" s="41" t="str"/>
      <x:c r="AL29" s="41" t="str"/>
    </x:row>
    <x:row r="30" ht="144" hidden="0" customHeight="1">
      <x:c r="A30" s="38" t="str">
        <x:v>29</x:v>
      </x:c>
      <x:c r="B30" s="38" t="str">
        <x:v>Молочные продукты и яйца</x:v>
      </x:c>
      <x:c r="C30" s="41" t="str">
        <x:v>butter_82_5_pct</x:v>
      </x:c>
      <x:c r="D30" s="41" t="str">
        <x:v>Масло сливочное 82,5%</x:v>
      </x:c>
      <x:c r="E30" s="41" t="str">
        <x:v>Oils &amp; Fats</x:v>
      </x:c>
      <x:c r="F30" s="41" t="str">
        <x:v>raw</x:v>
      </x:c>
      <x:c r="G30" s="38" t="str">
        <x:v>MEDIUM</x:v>
      </x:c>
      <x:c r="H30" s="38" t="str">
        <x:v>0.75</x:v>
      </x:c>
      <x:c r="I30" s="38" t="str">
        <x:v>CONDITIONALLY_ACCEPTED</x:v>
      </x:c>
      <x:c r="J30" s="41" t="str">
        <x:v>OFFICIAL_LABEL</x:v>
      </x:c>
      <x:c r="K30" s="41" t="str">
        <x:v>USDA_FDC_SR:173430</x:v>
      </x:c>
      <x:c r="L30" s="41" t="str">
        <x:v>USDA Standard Release via MyFoodData/FDC</x:v>
      </x:c>
      <x:c r="M30" s="41" t="str">
        <x:v>v5.3.68 metadata completion, 2026-07-08</x:v>
      </x:c>
      <x:c r="N30" s="41" t="str">
        <x:v>https://tools.myfooddata.com/nutrition-facts/173430/100g</x:v>
      </x:c>
      <x:c r="O30" s="41" t="str">
        <x:v>2</x:v>
      </x:c>
      <x:c r="P30" s="41" t="str">
        <x:v>manganese_mg; vitamin_c_mg</x:v>
      </x:c>
      <x:c r="Q30" s="41" t="str">
        <x:v>748.0</x:v>
      </x:c>
      <x:c r="R30" s="41" t="str">
        <x:v>0.7</x:v>
      </x:c>
      <x:c r="S30" s="41" t="str">
        <x:v>82.5</x:v>
      </x:c>
      <x:c r="T30" s="41" t="str">
        <x:v>0.8</x:v>
      </x:c>
      <x:c r="U30" s="41" t="str">
        <x:v>0</x:v>
      </x:c>
      <x:c r="V30" s="41" t="str">
        <x:v>12.0</x:v>
      </x:c>
      <x:c r="W30" s="41" t="str">
        <x:v>0.0305</x:v>
      </x:c>
      <x:c r="X30" s="41" t="str">
        <x:v>повседневный базовый продукт; предполагаемых нулей: 2; проверить корректность состояния продукта</x:v>
      </x:c>
      <x:c r="Y30" s="38" t="str">
        <x:v>NOT_REVIEWED</x:v>
      </x:c>
      <x:c r="Z30" s="38" t="str">
        <x:v>NOT_REVIEWED</x:v>
      </x:c>
      <x:c r="AA30" s="38" t="str">
        <x:v>NOT_REVIEWED</x:v>
      </x:c>
      <x:c r="AB30" s="38" t="str">
        <x:v>NOT_REVIEWED</x:v>
      </x:c>
      <x:c r="AC30" s="38" t="str">
        <x:v>NOT_REVIEWED</x:v>
      </x:c>
      <x:c r="AD30" s="38" t="str">
        <x:v>NOT_REVIEWED</x:v>
      </x:c>
      <x:c r="AE30" s="38" t="str">
        <x:v>NOT_REVIEWED</x:v>
      </x:c>
      <x:c r="AF30" s="38" t="str">
        <x:v>NOT_REVIEWED</x:v>
      </x:c>
      <x:c r="AG30" s="38" t="str">
        <x:v>NOT_REVIEWED</x:v>
      </x:c>
      <x:c r="AH30" s="41" t="str"/>
      <x:c r="AI30" s="41" t="str"/>
      <x:c r="AJ30" s="41" t="str"/>
      <x:c r="AK30" s="41" t="str"/>
      <x:c r="AL30" s="41" t="str"/>
    </x:row>
    <x:row r="31" ht="144" hidden="0" customHeight="1">
      <x:c r="A31" s="38" t="str">
        <x:v>30</x:v>
      </x:c>
      <x:c r="B31" s="38" t="str">
        <x:v>Молочные продукты и яйца</x:v>
      </x:c>
      <x:c r="C31" s="41" t="str">
        <x:v>cheese_russian</x:v>
      </x:c>
      <x:c r="D31" s="41" t="str">
        <x:v>Сыр Российский</x:v>
      </x:c>
      <x:c r="E31" s="41" t="str">
        <x:v>Dairy</x:v>
      </x:c>
      <x:c r="F31" s="41" t="str">
        <x:v>raw</x:v>
      </x:c>
      <x:c r="G31" s="38" t="str">
        <x:v>MEDIUM</x:v>
      </x:c>
      <x:c r="H31" s="38" t="str">
        <x:v>0.73</x:v>
      </x:c>
      <x:c r="I31" s="38" t="str">
        <x:v>CONDITIONALLY_ACCEPTED</x:v>
      </x:c>
      <x:c r="J31" s="41" t="str">
        <x:v>MIXED_SOURCE</x:v>
      </x:c>
      <x:c r="K31" s="41" t="str">
        <x:v>USDA_FDC_FNDDS:2705717</x:v>
      </x:c>
      <x:c r="L31" s="41" t="str">
        <x:v>USDA_FDC_FNDDS_2021_2023</x:v>
      </x:c>
      <x:c r="M31" s="41" t="str">
        <x:v>FNDDS 2021-2023</x:v>
      </x:c>
      <x:c r="N31" s="41" t="str">
        <x:v>https://fdc.nal.usda.gov/fdc-app.html#/food-details/2705717/nutrients</x:v>
      </x:c>
      <x:c r="O31" s="41" t="str">
        <x:v>3</x:v>
      </x:c>
      <x:c r="P31" s="41" t="str">
        <x:v>added_sugar; fiber_per_100g; vitamin_c_mg</x:v>
      </x:c>
      <x:c r="Q31" s="41" t="str">
        <x:v>356.0</x:v>
      </x:c>
      <x:c r="R31" s="41" t="str">
        <x:v>24.9</x:v>
      </x:c>
      <x:c r="S31" s="41" t="str">
        <x:v>27.4</x:v>
      </x:c>
      <x:c r="T31" s="41" t="str">
        <x:v>2.22</x:v>
      </x:c>
      <x:c r="U31" s="41" t="str">
        <x:v>0</x:v>
      </x:c>
      <x:c r="V31" s="41" t="str">
        <x:v>819.0</x:v>
      </x:c>
      <x:c r="W31" s="41" t="str">
        <x:v>2.0803</x:v>
      </x:c>
      <x:c r="X31" s="41" t="str">
        <x:v>повседневный базовый продукт; предполагаемых нулей: 3; проверить корректность состояния продукта</x:v>
      </x:c>
      <x:c r="Y31" s="38" t="str">
        <x:v>NOT_REVIEWED</x:v>
      </x:c>
      <x:c r="Z31" s="38" t="str">
        <x:v>NOT_REVIEWED</x:v>
      </x:c>
      <x:c r="AA31" s="38" t="str">
        <x:v>NOT_REVIEWED</x:v>
      </x:c>
      <x:c r="AB31" s="38" t="str">
        <x:v>NOT_REVIEWED</x:v>
      </x:c>
      <x:c r="AC31" s="38" t="str">
        <x:v>NOT_REVIEWED</x:v>
      </x:c>
      <x:c r="AD31" s="38" t="str">
        <x:v>NOT_REVIEWED</x:v>
      </x:c>
      <x:c r="AE31" s="38" t="str">
        <x:v>NOT_REVIEWED</x:v>
      </x:c>
      <x:c r="AF31" s="38" t="str">
        <x:v>NOT_REVIEWED</x:v>
      </x:c>
      <x:c r="AG31" s="38" t="str">
        <x:v>NOT_REVIEWED</x:v>
      </x:c>
      <x:c r="AH31" s="41" t="str"/>
      <x:c r="AI31" s="41" t="str"/>
      <x:c r="AJ31" s="41" t="str"/>
      <x:c r="AK31" s="41" t="str"/>
      <x:c r="AL31" s="41" t="str"/>
    </x:row>
    <x:row r="32" ht="108" hidden="0" customHeight="1">
      <x:c r="A32" s="38" t="str">
        <x:v>31</x:v>
      </x:c>
      <x:c r="B32" s="38" t="str">
        <x:v>Молочные продукты и яйца</x:v>
      </x:c>
      <x:c r="C32" s="41" t="str">
        <x:v>cheese_gouda</x:v>
      </x:c>
      <x:c r="D32" s="41" t="str">
        <x:v>Сыр гауда</x:v>
      </x:c>
      <x:c r="E32" s="41" t="str">
        <x:v>Dairy</x:v>
      </x:c>
      <x:c r="F32" s="41" t="str">
        <x:v>raw</x:v>
      </x:c>
      <x:c r="G32" s="38" t="str">
        <x:v>HIGH</x:v>
      </x:c>
      <x:c r="H32" s="38" t="str">
        <x:v>0.98</x:v>
      </x:c>
      <x:c r="I32" s="38" t="str">
        <x:v>VERIFIED</x:v>
      </x:c>
      <x:c r="J32" s="41" t="str">
        <x:v>PRIMARY_DATASET</x:v>
      </x:c>
      <x:c r="K32" s="41" t="str">
        <x:v>USDA_FDC_SR:171241</x:v>
      </x:c>
      <x:c r="L32" s="41" t="str">
        <x:v>USDA_FDC_SR_LEGACY_2018</x:v>
      </x:c>
      <x:c r="M32" s="41" t="str">
        <x:v>SR Legacy 04/2018</x:v>
      </x:c>
      <x:c r="N32" s="41" t="str">
        <x:v>https://fdc.nal.usda.gov/fdc-app.html#/food-details/171241/nutrients</x:v>
      </x:c>
      <x:c r="O32" s="41" t="str">
        <x:v>0</x:v>
      </x:c>
      <x:c r="P32" s="41" t="str"/>
      <x:c r="Q32" s="41" t="str">
        <x:v>356.0</x:v>
      </x:c>
      <x:c r="R32" s="41" t="str">
        <x:v>24.9</x:v>
      </x:c>
      <x:c r="S32" s="41" t="str">
        <x:v>27.4</x:v>
      </x:c>
      <x:c r="T32" s="41" t="str">
        <x:v>2.22</x:v>
      </x:c>
      <x:c r="U32" s="41" t="str">
        <x:v>0</x:v>
      </x:c>
      <x:c r="V32" s="41" t="str">
        <x:v>819.0</x:v>
      </x:c>
      <x:c r="W32" s="41" t="str">
        <x:v>2.0803</x:v>
      </x:c>
      <x:c r="X32" s="41" t="str">
        <x:v>повседневный базовый продукт; проверить корректность состояния продукта</x:v>
      </x:c>
      <x:c r="Y32" s="38" t="str">
        <x:v>NOT_REVIEWED</x:v>
      </x:c>
      <x:c r="Z32" s="38" t="str">
        <x:v>NOT_REVIEWED</x:v>
      </x:c>
      <x:c r="AA32" s="38" t="str">
        <x:v>NOT_REVIEWED</x:v>
      </x:c>
      <x:c r="AB32" s="38" t="str">
        <x:v>NOT_REVIEWED</x:v>
      </x:c>
      <x:c r="AC32" s="38" t="str">
        <x:v>NOT_REVIEWED</x:v>
      </x:c>
      <x:c r="AD32" s="38" t="str">
        <x:v>NOT_REVIEWED</x:v>
      </x:c>
      <x:c r="AE32" s="38" t="str">
        <x:v>NOT_REVIEWED</x:v>
      </x:c>
      <x:c r="AF32" s="38" t="str">
        <x:v>NOT_REVIEWED</x:v>
      </x:c>
      <x:c r="AG32" s="38" t="str">
        <x:v>NOT_REVIEWED</x:v>
      </x:c>
      <x:c r="AH32" s="41" t="str"/>
      <x:c r="AI32" s="41" t="str"/>
      <x:c r="AJ32" s="41" t="str"/>
      <x:c r="AK32" s="41" t="str"/>
      <x:c r="AL32" s="41" t="str"/>
    </x:row>
    <x:row r="33" ht="108" hidden="0" customHeight="1">
      <x:c r="A33" s="38" t="str">
        <x:v>32</x:v>
      </x:c>
      <x:c r="B33" s="38" t="str">
        <x:v>Молочные продукты и яйца</x:v>
      </x:c>
      <x:c r="C33" s="41" t="str">
        <x:v>egg_whole_boiled</x:v>
      </x:c>
      <x:c r="D33" s="41" t="str">
        <x:v>Яйцо куриное, сваренное вкрутую</x:v>
      </x:c>
      <x:c r="E33" s="41" t="str">
        <x:v>Meat</x:v>
      </x:c>
      <x:c r="F33" s="41" t="str">
        <x:v>cooked</x:v>
      </x:c>
      <x:c r="G33" s="38" t="str">
        <x:v>HIGH</x:v>
      </x:c>
      <x:c r="H33" s="38" t="str">
        <x:v>0.98</x:v>
      </x:c>
      <x:c r="I33" s="38" t="str">
        <x:v>VERIFIED</x:v>
      </x:c>
      <x:c r="J33" s="41" t="str">
        <x:v>PRIMARY_DATASET</x:v>
      </x:c>
      <x:c r="K33" s="41" t="str">
        <x:v>USDA_FDC_SR:173424</x:v>
      </x:c>
      <x:c r="L33" s="41" t="str">
        <x:v>USDA_FDC_SR_LEGACY_2018</x:v>
      </x:c>
      <x:c r="M33" s="41" t="str">
        <x:v>SR Legacy 04/2018</x:v>
      </x:c>
      <x:c r="N33" s="41" t="str">
        <x:v>https://fdc.nal.usda.gov/fdc-app.html#/food-details/173424/nutrients</x:v>
      </x:c>
      <x:c r="O33" s="41" t="str">
        <x:v>0</x:v>
      </x:c>
      <x:c r="P33" s="41" t="str"/>
      <x:c r="Q33" s="41" t="str">
        <x:v>155.0</x:v>
      </x:c>
      <x:c r="R33" s="41" t="str">
        <x:v>12.6</x:v>
      </x:c>
      <x:c r="S33" s="41" t="str">
        <x:v>10.6</x:v>
      </x:c>
      <x:c r="T33" s="41" t="str">
        <x:v>1.12</x:v>
      </x:c>
      <x:c r="U33" s="41" t="str">
        <x:v>0</x:v>
      </x:c>
      <x:c r="V33" s="41" t="str">
        <x:v>124.0</x:v>
      </x:c>
      <x:c r="W33" s="41" t="str">
        <x:v>0.315</x:v>
      </x:c>
      <x:c r="X33" s="41" t="str">
        <x:v>повседневный базовый продукт; проверить корректность состояния продукта</x:v>
      </x:c>
      <x:c r="Y33" s="38" t="str">
        <x:v>NOT_REVIEWED</x:v>
      </x:c>
      <x:c r="Z33" s="38" t="str">
        <x:v>NOT_REVIEWED</x:v>
      </x:c>
      <x:c r="AA33" s="38" t="str">
        <x:v>NOT_REVIEWED</x:v>
      </x:c>
      <x:c r="AB33" s="38" t="str">
        <x:v>NOT_REVIEWED</x:v>
      </x:c>
      <x:c r="AC33" s="38" t="str">
        <x:v>NOT_REVIEWED</x:v>
      </x:c>
      <x:c r="AD33" s="38" t="str">
        <x:v>NOT_REVIEWED</x:v>
      </x:c>
      <x:c r="AE33" s="38" t="str">
        <x:v>NOT_REVIEWED</x:v>
      </x:c>
      <x:c r="AF33" s="38" t="str">
        <x:v>NOT_REVIEWED</x:v>
      </x:c>
      <x:c r="AG33" s="38" t="str">
        <x:v>NOT_REVIEWED</x:v>
      </x:c>
      <x:c r="AH33" s="41" t="str"/>
      <x:c r="AI33" s="41" t="str"/>
      <x:c r="AJ33" s="41" t="str"/>
      <x:c r="AK33" s="41" t="str"/>
      <x:c r="AL33" s="41" t="str"/>
    </x:row>
    <x:row r="34" ht="108" hidden="0" customHeight="1">
      <x:c r="A34" s="38" t="str">
        <x:v>33</x:v>
      </x:c>
      <x:c r="B34" s="38" t="str">
        <x:v>Мясо, рыба и растительные белки</x:v>
      </x:c>
      <x:c r="C34" s="41" t="str">
        <x:v>chicken_breast_cooked</x:v>
      </x:c>
      <x:c r="D34" s="41" t="str">
        <x:v>Куриная грудка, запечённая (без кожи)</x:v>
      </x:c>
      <x:c r="E34" s="41" t="str">
        <x:v>Meat</x:v>
      </x:c>
      <x:c r="F34" s="41" t="str">
        <x:v>cooked</x:v>
      </x:c>
      <x:c r="G34" s="38" t="str">
        <x:v>HIGH</x:v>
      </x:c>
      <x:c r="H34" s="38" t="str">
        <x:v>0.98</x:v>
      </x:c>
      <x:c r="I34" s="38" t="str">
        <x:v>VERIFIED</x:v>
      </x:c>
      <x:c r="J34" s="41" t="str">
        <x:v>PRIMARY_DATASET</x:v>
      </x:c>
      <x:c r="K34" s="41" t="str">
        <x:v>USDA_FDC_SR:171477</x:v>
      </x:c>
      <x:c r="L34" s="41" t="str">
        <x:v>USDA_FDC_SR_LEGACY_2018</x:v>
      </x:c>
      <x:c r="M34" s="41" t="str">
        <x:v>SR Legacy 04/2018</x:v>
      </x:c>
      <x:c r="N34" s="41" t="str">
        <x:v>https://fdc.nal.usda.gov/fdc-app.html#/food-details/171477/nutrients</x:v>
      </x:c>
      <x:c r="O34" s="41" t="str">
        <x:v>0</x:v>
      </x:c>
      <x:c r="P34" s="41" t="str"/>
      <x:c r="Q34" s="41" t="str">
        <x:v>165.0</x:v>
      </x:c>
      <x:c r="R34" s="41" t="str">
        <x:v>31.0</x:v>
      </x:c>
      <x:c r="S34" s="41" t="str">
        <x:v>3.57</x:v>
      </x:c>
      <x:c r="T34" s="41" t="str">
        <x:v>0</x:v>
      </x:c>
      <x:c r="U34" s="41" t="str">
        <x:v>0</x:v>
      </x:c>
      <x:c r="V34" s="41" t="str">
        <x:v>74.0</x:v>
      </x:c>
      <x:c r="W34" s="41" t="str">
        <x:v>0.188</x:v>
      </x:c>
      <x:c r="X34" s="41" t="str">
        <x:v>повседневный базовый продукт; проверить корректность состояния продукта</x:v>
      </x:c>
      <x:c r="Y34" s="38" t="str">
        <x:v>NOT_REVIEWED</x:v>
      </x:c>
      <x:c r="Z34" s="38" t="str">
        <x:v>NOT_REVIEWED</x:v>
      </x:c>
      <x:c r="AA34" s="38" t="str">
        <x:v>NOT_REVIEWED</x:v>
      </x:c>
      <x:c r="AB34" s="38" t="str">
        <x:v>NOT_REVIEWED</x:v>
      </x:c>
      <x:c r="AC34" s="38" t="str">
        <x:v>NOT_REVIEWED</x:v>
      </x:c>
      <x:c r="AD34" s="38" t="str">
        <x:v>NOT_REVIEWED</x:v>
      </x:c>
      <x:c r="AE34" s="38" t="str">
        <x:v>NOT_REVIEWED</x:v>
      </x:c>
      <x:c r="AF34" s="38" t="str">
        <x:v>NOT_REVIEWED</x:v>
      </x:c>
      <x:c r="AG34" s="38" t="str">
        <x:v>NOT_REVIEWED</x:v>
      </x:c>
      <x:c r="AH34" s="41" t="str"/>
      <x:c r="AI34" s="41" t="str"/>
      <x:c r="AJ34" s="41" t="str"/>
      <x:c r="AK34" s="41" t="str"/>
      <x:c r="AL34" s="41" t="str"/>
    </x:row>
    <x:row r="35" ht="108" hidden="0" customHeight="1">
      <x:c r="A35" s="38" t="str">
        <x:v>34</x:v>
      </x:c>
      <x:c r="B35" s="38" t="str">
        <x:v>Мясо, рыба и растительные белки</x:v>
      </x:c>
      <x:c r="C35" s="41" t="str">
        <x:v>chicken_thigh_cooked</x:v>
      </x:c>
      <x:c r="D35" s="41" t="str">
        <x:v>Куриное бедро, запечённое (без кожи)</x:v>
      </x:c>
      <x:c r="E35" s="41" t="str">
        <x:v>Meat</x:v>
      </x:c>
      <x:c r="F35" s="41" t="str">
        <x:v>cooked</x:v>
      </x:c>
      <x:c r="G35" s="38" t="str">
        <x:v>HIGH</x:v>
      </x:c>
      <x:c r="H35" s="38" t="str">
        <x:v>0.98</x:v>
      </x:c>
      <x:c r="I35" s="38" t="str">
        <x:v>VERIFIED</x:v>
      </x:c>
      <x:c r="J35" s="41" t="str">
        <x:v>PRIMARY_DATASET</x:v>
      </x:c>
      <x:c r="K35" s="41" t="str">
        <x:v>USDA_FDC_SR:172388</x:v>
      </x:c>
      <x:c r="L35" s="41" t="str">
        <x:v>USDA_FDC_SR_LEGACY_2018</x:v>
      </x:c>
      <x:c r="M35" s="41" t="str">
        <x:v>SR Legacy 04/2018</x:v>
      </x:c>
      <x:c r="N35" s="41" t="str">
        <x:v>https://fdc.nal.usda.gov/fdc-app.html#/food-details/172388/nutrients</x:v>
      </x:c>
      <x:c r="O35" s="41" t="str">
        <x:v>0</x:v>
      </x:c>
      <x:c r="P35" s="41" t="str"/>
      <x:c r="Q35" s="41" t="str">
        <x:v>179.0</x:v>
      </x:c>
      <x:c r="R35" s="41" t="str">
        <x:v>24.8</x:v>
      </x:c>
      <x:c r="S35" s="41" t="str">
        <x:v>8.15</x:v>
      </x:c>
      <x:c r="T35" s="41" t="str">
        <x:v>0</x:v>
      </x:c>
      <x:c r="U35" s="41" t="str">
        <x:v>0</x:v>
      </x:c>
      <x:c r="V35" s="41" t="str">
        <x:v>106.0</x:v>
      </x:c>
      <x:c r="W35" s="41" t="str">
        <x:v>0.2692</x:v>
      </x:c>
      <x:c r="X35" s="41" t="str">
        <x:v>повседневный базовый продукт; проверить корректность состояния продукта</x:v>
      </x:c>
      <x:c r="Y35" s="38" t="str">
        <x:v>NOT_REVIEWED</x:v>
      </x:c>
      <x:c r="Z35" s="38" t="str">
        <x:v>NOT_REVIEWED</x:v>
      </x:c>
      <x:c r="AA35" s="38" t="str">
        <x:v>NOT_REVIEWED</x:v>
      </x:c>
      <x:c r="AB35" s="38" t="str">
        <x:v>NOT_REVIEWED</x:v>
      </x:c>
      <x:c r="AC35" s="38" t="str">
        <x:v>NOT_REVIEWED</x:v>
      </x:c>
      <x:c r="AD35" s="38" t="str">
        <x:v>NOT_REVIEWED</x:v>
      </x:c>
      <x:c r="AE35" s="38" t="str">
        <x:v>NOT_REVIEWED</x:v>
      </x:c>
      <x:c r="AF35" s="38" t="str">
        <x:v>NOT_REVIEWED</x:v>
      </x:c>
      <x:c r="AG35" s="38" t="str">
        <x:v>NOT_REVIEWED</x:v>
      </x:c>
      <x:c r="AH35" s="41" t="str"/>
      <x:c r="AI35" s="41" t="str"/>
      <x:c r="AJ35" s="41" t="str"/>
      <x:c r="AK35" s="41" t="str"/>
      <x:c r="AL35" s="41" t="str"/>
    </x:row>
    <x:row r="36" ht="84" hidden="0" customHeight="1">
      <x:c r="A36" s="38" t="str">
        <x:v>35</x:v>
      </x:c>
      <x:c r="B36" s="38" t="str">
        <x:v>Мясо, рыба и растительные белки</x:v>
      </x:c>
      <x:c r="C36" s="41" t="str">
        <x:v>chicken_liver_cooked</x:v>
      </x:c>
      <x:c r="D36" s="41" t="str">
        <x:v>Печень куриная, приготовленная при слабом кипении</x:v>
      </x:c>
      <x:c r="E36" s="41" t="str">
        <x:v>Meat</x:v>
      </x:c>
      <x:c r="F36" s="41" t="str">
        <x:v>simmered</x:v>
      </x:c>
      <x:c r="G36" s="38" t="str">
        <x:v>HIGH</x:v>
      </x:c>
      <x:c r="H36" s="38" t="str">
        <x:v>0.98</x:v>
      </x:c>
      <x:c r="I36" s="38" t="str">
        <x:v>VERIFIED</x:v>
      </x:c>
      <x:c r="J36" s="41" t="str">
        <x:v>PRIMARY_DATASET</x:v>
      </x:c>
      <x:c r="K36" s="41" t="str">
        <x:v>USDA_FDC_SR:171061</x:v>
      </x:c>
      <x:c r="L36" s="41" t="str">
        <x:v>USDA_FDC_SR_LEGACY_2018</x:v>
      </x:c>
      <x:c r="M36" s="41" t="str">
        <x:v>SR Legacy 04/2018</x:v>
      </x:c>
      <x:c r="N36" s="41" t="str">
        <x:v>https://fdc.nal.usda.gov/fdc-app.html#/food-details/171061/nutrients</x:v>
      </x:c>
      <x:c r="O36" s="41" t="str">
        <x:v>0</x:v>
      </x:c>
      <x:c r="P36" s="41" t="str"/>
      <x:c r="Q36" s="41" t="str">
        <x:v>167.0</x:v>
      </x:c>
      <x:c r="R36" s="41" t="str">
        <x:v>24.5</x:v>
      </x:c>
      <x:c r="S36" s="41" t="str">
        <x:v>6.51</x:v>
      </x:c>
      <x:c r="T36" s="41" t="str">
        <x:v>0.87</x:v>
      </x:c>
      <x:c r="U36" s="41" t="str">
        <x:v>0</x:v>
      </x:c>
      <x:c r="V36" s="41" t="str">
        <x:v>76.0</x:v>
      </x:c>
      <x:c r="W36" s="41" t="str">
        <x:v>0.193</x:v>
      </x:c>
      <x:c r="X36" s="41" t="str">
        <x:v>повседневный базовый продукт</x:v>
      </x:c>
      <x:c r="Y36" s="38" t="str">
        <x:v>NOT_REVIEWED</x:v>
      </x:c>
      <x:c r="Z36" s="38" t="str">
        <x:v>NOT_REVIEWED</x:v>
      </x:c>
      <x:c r="AA36" s="38" t="str">
        <x:v>NOT_REVIEWED</x:v>
      </x:c>
      <x:c r="AB36" s="38" t="str">
        <x:v>NOT_REVIEWED</x:v>
      </x:c>
      <x:c r="AC36" s="38" t="str">
        <x:v>NOT_REVIEWED</x:v>
      </x:c>
      <x:c r="AD36" s="38" t="str">
        <x:v>NOT_REVIEWED</x:v>
      </x:c>
      <x:c r="AE36" s="38" t="str">
        <x:v>NOT_REVIEWED</x:v>
      </x:c>
      <x:c r="AF36" s="38" t="str">
        <x:v>NOT_REVIEWED</x:v>
      </x:c>
      <x:c r="AG36" s="38" t="str">
        <x:v>NOT_REVIEWED</x:v>
      </x:c>
      <x:c r="AH36" s="41" t="str"/>
      <x:c r="AI36" s="41" t="str"/>
      <x:c r="AJ36" s="41" t="str"/>
      <x:c r="AK36" s="41" t="str"/>
      <x:c r="AL36" s="41" t="str"/>
    </x:row>
    <x:row r="37" ht="108" hidden="0" customHeight="1">
      <x:c r="A37" s="38" t="str">
        <x:v>36</x:v>
      </x:c>
      <x:c r="B37" s="38" t="str">
        <x:v>Мясо, рыба и растительные белки</x:v>
      </x:c>
      <x:c r="C37" s="41" t="str">
        <x:v>turkey_breast_cooked</x:v>
      </x:c>
      <x:c r="D37" s="41" t="str">
        <x:v>Индейка, грудка, запечённая (без кожи)</x:v>
      </x:c>
      <x:c r="E37" s="41" t="str">
        <x:v>Meat</x:v>
      </x:c>
      <x:c r="F37" s="41" t="str">
        <x:v>cooked</x:v>
      </x:c>
      <x:c r="G37" s="38" t="str">
        <x:v>HIGH</x:v>
      </x:c>
      <x:c r="H37" s="38" t="str">
        <x:v>0.98</x:v>
      </x:c>
      <x:c r="I37" s="38" t="str">
        <x:v>VERIFIED</x:v>
      </x:c>
      <x:c r="J37" s="41" t="str">
        <x:v>PRIMARY_DATASET</x:v>
      </x:c>
      <x:c r="K37" s="41" t="str">
        <x:v>USDA_FDC_SR:171496</x:v>
      </x:c>
      <x:c r="L37" s="41" t="str">
        <x:v>USDA_FDC_SR_LEGACY_2018</x:v>
      </x:c>
      <x:c r="M37" s="41" t="str">
        <x:v>SR Legacy 04/2018</x:v>
      </x:c>
      <x:c r="N37" s="41" t="str">
        <x:v>https://fdc.nal.usda.gov/fdc-app.html#/food-details/171496/nutrients</x:v>
      </x:c>
      <x:c r="O37" s="41" t="str">
        <x:v>0</x:v>
      </x:c>
      <x:c r="P37" s="41" t="str"/>
      <x:c r="Q37" s="41" t="str">
        <x:v>147.0</x:v>
      </x:c>
      <x:c r="R37" s="41" t="str">
        <x:v>30.1</x:v>
      </x:c>
      <x:c r="S37" s="41" t="str">
        <x:v>2.08</x:v>
      </x:c>
      <x:c r="T37" s="41" t="str">
        <x:v>0</x:v>
      </x:c>
      <x:c r="U37" s="41" t="str">
        <x:v>0</x:v>
      </x:c>
      <x:c r="V37" s="41" t="str">
        <x:v>99.0</x:v>
      </x:c>
      <x:c r="W37" s="41" t="str">
        <x:v>0.2515</x:v>
      </x:c>
      <x:c r="X37" s="41" t="str">
        <x:v>повседневный базовый продукт; проверить корректность состояния продукта</x:v>
      </x:c>
      <x:c r="Y37" s="38" t="str">
        <x:v>NOT_REVIEWED</x:v>
      </x:c>
      <x:c r="Z37" s="38" t="str">
        <x:v>NOT_REVIEWED</x:v>
      </x:c>
      <x:c r="AA37" s="38" t="str">
        <x:v>NOT_REVIEWED</x:v>
      </x:c>
      <x:c r="AB37" s="38" t="str">
        <x:v>NOT_REVIEWED</x:v>
      </x:c>
      <x:c r="AC37" s="38" t="str">
        <x:v>NOT_REVIEWED</x:v>
      </x:c>
      <x:c r="AD37" s="38" t="str">
        <x:v>NOT_REVIEWED</x:v>
      </x:c>
      <x:c r="AE37" s="38" t="str">
        <x:v>NOT_REVIEWED</x:v>
      </x:c>
      <x:c r="AF37" s="38" t="str">
        <x:v>NOT_REVIEWED</x:v>
      </x:c>
      <x:c r="AG37" s="38" t="str">
        <x:v>NOT_REVIEWED</x:v>
      </x:c>
      <x:c r="AH37" s="41" t="str"/>
      <x:c r="AI37" s="41" t="str"/>
      <x:c r="AJ37" s="41" t="str"/>
      <x:c r="AK37" s="41" t="str"/>
      <x:c r="AL37" s="41" t="str"/>
    </x:row>
    <x:row r="38" ht="108" hidden="0" customHeight="1">
      <x:c r="A38" s="38" t="str">
        <x:v>37</x:v>
      </x:c>
      <x:c r="B38" s="38" t="str">
        <x:v>Мясо, рыба и растительные белки</x:v>
      </x:c>
      <x:c r="C38" s="41" t="str">
        <x:v>beef_lean_cooked</x:v>
      </x:c>
      <x:c r="D38" s="41" t="str">
        <x:v>Говядина постная (верхняя часть бедра), запечённая</x:v>
      </x:c>
      <x:c r="E38" s="41" t="str">
        <x:v>Meat</x:v>
      </x:c>
      <x:c r="F38" s="41" t="str">
        <x:v>cooked</x:v>
      </x:c>
      <x:c r="G38" s="38" t="str">
        <x:v>HIGH</x:v>
      </x:c>
      <x:c r="H38" s="38" t="str">
        <x:v>0.98</x:v>
      </x:c>
      <x:c r="I38" s="38" t="str">
        <x:v>VERIFIED</x:v>
      </x:c>
      <x:c r="J38" s="41" t="str">
        <x:v>PRIMARY_DATASET</x:v>
      </x:c>
      <x:c r="K38" s="41" t="str">
        <x:v>USDA_FDC_SR:171770</x:v>
      </x:c>
      <x:c r="L38" s="41" t="str">
        <x:v>USDA_FDC_SR_LEGACY_2018</x:v>
      </x:c>
      <x:c r="M38" s="41" t="str">
        <x:v>SR Legacy 04/2018</x:v>
      </x:c>
      <x:c r="N38" s="41" t="str">
        <x:v>https://fdc.nal.usda.gov/fdc-app.html#/food-details/171770/nutrients</x:v>
      </x:c>
      <x:c r="O38" s="41" t="str">
        <x:v>0</x:v>
      </x:c>
      <x:c r="P38" s="41" t="str"/>
      <x:c r="Q38" s="41" t="str">
        <x:v>158.0</x:v>
      </x:c>
      <x:c r="R38" s="41" t="str">
        <x:v>30.2</x:v>
      </x:c>
      <x:c r="S38" s="41" t="str">
        <x:v>4.11</x:v>
      </x:c>
      <x:c r="T38" s="41" t="str">
        <x:v>0.06</x:v>
      </x:c>
      <x:c r="U38" s="41" t="str">
        <x:v>0</x:v>
      </x:c>
      <x:c r="V38" s="41" t="str">
        <x:v>69.0</x:v>
      </x:c>
      <x:c r="W38" s="41" t="str">
        <x:v>0.1753</x:v>
      </x:c>
      <x:c r="X38" s="41" t="str">
        <x:v>повседневный базовый продукт; проверить корректность состояния продукта</x:v>
      </x:c>
      <x:c r="Y38" s="38" t="str">
        <x:v>NOT_REVIEWED</x:v>
      </x:c>
      <x:c r="Z38" s="38" t="str">
        <x:v>NOT_REVIEWED</x:v>
      </x:c>
      <x:c r="AA38" s="38" t="str">
        <x:v>NOT_REVIEWED</x:v>
      </x:c>
      <x:c r="AB38" s="38" t="str">
        <x:v>NOT_REVIEWED</x:v>
      </x:c>
      <x:c r="AC38" s="38" t="str">
        <x:v>NOT_REVIEWED</x:v>
      </x:c>
      <x:c r="AD38" s="38" t="str">
        <x:v>NOT_REVIEWED</x:v>
      </x:c>
      <x:c r="AE38" s="38" t="str">
        <x:v>NOT_REVIEWED</x:v>
      </x:c>
      <x:c r="AF38" s="38" t="str">
        <x:v>NOT_REVIEWED</x:v>
      </x:c>
      <x:c r="AG38" s="38" t="str">
        <x:v>NOT_REVIEWED</x:v>
      </x:c>
      <x:c r="AH38" s="41" t="str"/>
      <x:c r="AI38" s="41" t="str"/>
      <x:c r="AJ38" s="41" t="str"/>
      <x:c r="AK38" s="41" t="str"/>
      <x:c r="AL38" s="41" t="str"/>
    </x:row>
    <x:row r="39" ht="144" hidden="0" customHeight="1">
      <x:c r="A39" s="38" t="str">
        <x:v>38</x:v>
      </x:c>
      <x:c r="B39" s="38" t="str">
        <x:v>Мясо, рыба и растительные белки</x:v>
      </x:c>
      <x:c r="C39" s="41" t="str">
        <x:v>beef_boiled</x:v>
      </x:c>
      <x:c r="D39" s="41" t="str">
        <x:v>Говядина отварная</x:v>
      </x:c>
      <x:c r="E39" s="41" t="str">
        <x:v>Protein Foods</x:v>
      </x:c>
      <x:c r="F39" s="41" t="str">
        <x:v>boiled</x:v>
      </x:c>
      <x:c r="G39" s="38" t="str">
        <x:v>MEDIUM</x:v>
      </x:c>
      <x:c r="H39" s="38" t="str">
        <x:v>0.62</x:v>
      </x:c>
      <x:c r="I39" s="38" t="str">
        <x:v>CONDITIONALLY_ACCEPTED</x:v>
      </x:c>
      <x:c r="J39" s="41" t="str">
        <x:v>BORROWED_PROXY</x:v>
      </x:c>
      <x:c r="K39" s="41" t="str">
        <x:v>COOKING_STATE_PROFILE:BEEF_BOILED_GENERIC</x:v>
      </x:c>
      <x:c r="L39" s="41" t="str">
        <x:v>USDA_COOKED_LEAN_BEEF_PROFILE_WITH_BOILING_ADJUSTMENT</x:v>
      </x:c>
      <x:c r="M39" s="41" t="str">
        <x:v>v5.3.119</x:v>
      </x:c>
      <x:c r="N39" s="41" t="str"/>
      <x:c r="O39" s="41" t="str">
        <x:v>6</x:v>
      </x:c>
      <x:c r="P39" s="41" t="str">
        <x:v>added_sugar; carbs_per_100g; fiber_per_100g; sugar_per_100g; vitamin_c_mg; vitamin_d_mcg</x:v>
      </x:c>
      <x:c r="Q39" s="41" t="str">
        <x:v>202.0</x:v>
      </x:c>
      <x:c r="R39" s="41" t="str">
        <x:v>30.0</x:v>
      </x:c>
      <x:c r="S39" s="41" t="str">
        <x:v>8.2</x:v>
      </x:c>
      <x:c r="T39" s="41" t="str">
        <x:v>0.0</x:v>
      </x:c>
      <x:c r="U39" s="41" t="str">
        <x:v>0.0</x:v>
      </x:c>
      <x:c r="V39" s="41" t="str">
        <x:v>62.0</x:v>
      </x:c>
      <x:c r="W39" s="41" t="str">
        <x:v>0.1578</x:v>
      </x:c>
      <x:c r="X39" s="41" t="str">
        <x:v>повседневный базовый продукт; предполагаемых нулей: 6; проверить корректность состояния продукта</x:v>
      </x:c>
      <x:c r="Y39" s="38" t="str">
        <x:v>NOT_REVIEWED</x:v>
      </x:c>
      <x:c r="Z39" s="38" t="str">
        <x:v>NOT_REVIEWED</x:v>
      </x:c>
      <x:c r="AA39" s="38" t="str">
        <x:v>NOT_REVIEWED</x:v>
      </x:c>
      <x:c r="AB39" s="38" t="str">
        <x:v>NOT_REVIEWED</x:v>
      </x:c>
      <x:c r="AC39" s="38" t="str">
        <x:v>NOT_REVIEWED</x:v>
      </x:c>
      <x:c r="AD39" s="38" t="str">
        <x:v>NOT_REVIEWED</x:v>
      </x:c>
      <x:c r="AE39" s="38" t="str">
        <x:v>NOT_REVIEWED</x:v>
      </x:c>
      <x:c r="AF39" s="38" t="str">
        <x:v>NOT_REVIEWED</x:v>
      </x:c>
      <x:c r="AG39" s="38" t="str">
        <x:v>NOT_REVIEWED</x:v>
      </x:c>
      <x:c r="AH39" s="41" t="str"/>
      <x:c r="AI39" s="41" t="str"/>
      <x:c r="AJ39" s="41" t="str"/>
      <x:c r="AK39" s="41" t="str"/>
      <x:c r="AL39" s="41" t="str"/>
    </x:row>
    <x:row r="40" ht="108" hidden="0" customHeight="1">
      <x:c r="A40" s="38" t="str">
        <x:v>39</x:v>
      </x:c>
      <x:c r="B40" s="38" t="str">
        <x:v>Мясо, рыба и растительные белки</x:v>
      </x:c>
      <x:c r="C40" s="41" t="str">
        <x:v>pork_tenderloin_cooked</x:v>
      </x:c>
      <x:c r="D40" s="41" t="str">
        <x:v>Свинина, вырезка, запечённая (постная)</x:v>
      </x:c>
      <x:c r="E40" s="41" t="str">
        <x:v>Meat</x:v>
      </x:c>
      <x:c r="F40" s="41" t="str">
        <x:v>cooked</x:v>
      </x:c>
      <x:c r="G40" s="38" t="str">
        <x:v>HIGH</x:v>
      </x:c>
      <x:c r="H40" s="38" t="str">
        <x:v>0.98</x:v>
      </x:c>
      <x:c r="I40" s="38" t="str">
        <x:v>VERIFIED</x:v>
      </x:c>
      <x:c r="J40" s="41" t="str">
        <x:v>PRIMARY_DATASET</x:v>
      </x:c>
      <x:c r="K40" s="41" t="str">
        <x:v>USDA_FDC_SR:168250</x:v>
      </x:c>
      <x:c r="L40" s="41" t="str">
        <x:v>USDA_FDC_SR_LEGACY_2018</x:v>
      </x:c>
      <x:c r="M40" s="41" t="str">
        <x:v>SR Legacy 04/2018</x:v>
      </x:c>
      <x:c r="N40" s="41" t="str">
        <x:v>https://fdc.nal.usda.gov/fdc-app.html#/food-details/168250/nutrients</x:v>
      </x:c>
      <x:c r="O40" s="41" t="str">
        <x:v>0</x:v>
      </x:c>
      <x:c r="P40" s="41" t="str"/>
      <x:c r="Q40" s="41" t="str">
        <x:v>143.0</x:v>
      </x:c>
      <x:c r="R40" s="41" t="str">
        <x:v>26.2</x:v>
      </x:c>
      <x:c r="S40" s="41" t="str">
        <x:v>3.51</x:v>
      </x:c>
      <x:c r="T40" s="41" t="str">
        <x:v>0</x:v>
      </x:c>
      <x:c r="U40" s="41" t="str">
        <x:v>0</x:v>
      </x:c>
      <x:c r="V40" s="41" t="str">
        <x:v>57.0</x:v>
      </x:c>
      <x:c r="W40" s="41" t="str">
        <x:v>0.1448</x:v>
      </x:c>
      <x:c r="X40" s="41" t="str">
        <x:v>повседневный базовый продукт; проверить корректность состояния продукта</x:v>
      </x:c>
      <x:c r="Y40" s="38" t="str">
        <x:v>NOT_REVIEWED</x:v>
      </x:c>
      <x:c r="Z40" s="38" t="str">
        <x:v>NOT_REVIEWED</x:v>
      </x:c>
      <x:c r="AA40" s="38" t="str">
        <x:v>NOT_REVIEWED</x:v>
      </x:c>
      <x:c r="AB40" s="38" t="str">
        <x:v>NOT_REVIEWED</x:v>
      </x:c>
      <x:c r="AC40" s="38" t="str">
        <x:v>NOT_REVIEWED</x:v>
      </x:c>
      <x:c r="AD40" s="38" t="str">
        <x:v>NOT_REVIEWED</x:v>
      </x:c>
      <x:c r="AE40" s="38" t="str">
        <x:v>NOT_REVIEWED</x:v>
      </x:c>
      <x:c r="AF40" s="38" t="str">
        <x:v>NOT_REVIEWED</x:v>
      </x:c>
      <x:c r="AG40" s="38" t="str">
        <x:v>NOT_REVIEWED</x:v>
      </x:c>
      <x:c r="AH40" s="41" t="str"/>
      <x:c r="AI40" s="41" t="str"/>
      <x:c r="AJ40" s="41" t="str"/>
      <x:c r="AK40" s="41" t="str"/>
      <x:c r="AL40" s="41" t="str"/>
    </x:row>
    <x:row r="41" ht="168" hidden="0" customHeight="1">
      <x:c r="A41" s="38" t="str">
        <x:v>40</x:v>
      </x:c>
      <x:c r="B41" s="38" t="str">
        <x:v>Мясо, рыба и растительные белки</x:v>
      </x:c>
      <x:c r="C41" s="41" t="str">
        <x:v>pork_neck_roasted</x:v>
      </x:c>
      <x:c r="D41" s="41" t="str">
        <x:v>Свиная шея, запечённая</x:v>
      </x:c>
      <x:c r="E41" s="41" t="str">
        <x:v>Meat</x:v>
      </x:c>
      <x:c r="F41" s="41" t="str">
        <x:v>roasted</x:v>
      </x:c>
      <x:c r="G41" s="38" t="str">
        <x:v>MEDIUM</x:v>
      </x:c>
      <x:c r="H41" s="38" t="str">
        <x:v>0.58</x:v>
      </x:c>
      <x:c r="I41" s="38" t="str">
        <x:v>CONDITIONALLY_ACCEPTED</x:v>
      </x:c>
      <x:c r="J41" s="41" t="str">
        <x:v>DERIVED_MODEL</x:v>
      </x:c>
      <x:c r="K41" s="41" t="str">
        <x:v>CANONICAL:PORK_NECK_ROASTED</x:v>
      </x:c>
      <x:c r="L41" s="41" t="str">
        <x:v>RAW_PORK_NECK_PLUS_ROASTING_YIELD_MODEL</x:v>
      </x:c>
      <x:c r="M41" s="41" t="str">
        <x:v>v5.3.123 canonical profile</x:v>
      </x:c>
      <x:c r="N41" s="41" t="str"/>
      <x:c r="O41" s="41" t="str">
        <x:v>7</x:v>
      </x:c>
      <x:c r="P41" s="41" t="str">
        <x:v>added_sugar; carbs_per_100g; fiber_per_100g; sugar_per_100g; vitamin_b9_mcg; vitamin_c_mg; vitamin_k_mcg</x:v>
      </x:c>
      <x:c r="Q41" s="41" t="str">
        <x:v>310.0</x:v>
      </x:c>
      <x:c r="R41" s="41" t="str">
        <x:v>24.0</x:v>
      </x:c>
      <x:c r="S41" s="41" t="str">
        <x:v>24.0</x:v>
      </x:c>
      <x:c r="T41" s="41" t="str">
        <x:v>0.0</x:v>
      </x:c>
      <x:c r="U41" s="41" t="str">
        <x:v>0.0</x:v>
      </x:c>
      <x:c r="V41" s="41" t="str">
        <x:v>72.0</x:v>
      </x:c>
      <x:c r="W41" s="41" t="str">
        <x:v>0.1832</x:v>
      </x:c>
      <x:c r="X41" s="41" t="str">
        <x:v>повседневный базовый продукт; предполагаемых нулей: 7</x:v>
      </x:c>
      <x:c r="Y41" s="38" t="str">
        <x:v>NOT_REVIEWED</x:v>
      </x:c>
      <x:c r="Z41" s="38" t="str">
        <x:v>NOT_REVIEWED</x:v>
      </x:c>
      <x:c r="AA41" s="38" t="str">
        <x:v>NOT_REVIEWED</x:v>
      </x:c>
      <x:c r="AB41" s="38" t="str">
        <x:v>NOT_REVIEWED</x:v>
      </x:c>
      <x:c r="AC41" s="38" t="str">
        <x:v>NOT_REVIEWED</x:v>
      </x:c>
      <x:c r="AD41" s="38" t="str">
        <x:v>NOT_REVIEWED</x:v>
      </x:c>
      <x:c r="AE41" s="38" t="str">
        <x:v>NOT_REVIEWED</x:v>
      </x:c>
      <x:c r="AF41" s="38" t="str">
        <x:v>NOT_REVIEWED</x:v>
      </x:c>
      <x:c r="AG41" s="38" t="str">
        <x:v>NOT_REVIEWED</x:v>
      </x:c>
      <x:c r="AH41" s="41" t="str"/>
      <x:c r="AI41" s="41" t="str"/>
      <x:c r="AJ41" s="41" t="str"/>
      <x:c r="AK41" s="41" t="str"/>
      <x:c r="AL41" s="41" t="str"/>
    </x:row>
    <x:row r="42" ht="108" hidden="0" customHeight="1">
      <x:c r="A42" s="38" t="str">
        <x:v>41</x:v>
      </x:c>
      <x:c r="B42" s="38" t="str">
        <x:v>Мясо, рыба и растительные белки</x:v>
      </x:c>
      <x:c r="C42" s="41" t="str">
        <x:v>salmon_atlantic_baked</x:v>
      </x:c>
      <x:c r="D42" s="41" t="str">
        <x:v>Лосось атлантический, запечённый</x:v>
      </x:c>
      <x:c r="E42" s="41" t="str">
        <x:v>Seafood &amp; Plant Protein</x:v>
      </x:c>
      <x:c r="F42" s="41" t="str">
        <x:v>cooked</x:v>
      </x:c>
      <x:c r="G42" s="38" t="str">
        <x:v>HIGH</x:v>
      </x:c>
      <x:c r="H42" s="38" t="str">
        <x:v>0.98</x:v>
      </x:c>
      <x:c r="I42" s="38" t="str">
        <x:v>VERIFIED</x:v>
      </x:c>
      <x:c r="J42" s="41" t="str">
        <x:v>PRIMARY_DATASET</x:v>
      </x:c>
      <x:c r="K42" s="41" t="str">
        <x:v>USDA_FDC_SR:175168</x:v>
      </x:c>
      <x:c r="L42" s="41" t="str">
        <x:v>USDA_FDC_SR_LEGACY_2018</x:v>
      </x:c>
      <x:c r="M42" s="41" t="str">
        <x:v>SR Legacy 04/2018</x:v>
      </x:c>
      <x:c r="N42" s="41" t="str">
        <x:v>https://fdc.nal.usda.gov/fdc-app.html#/food-details/175168/nutrients</x:v>
      </x:c>
      <x:c r="O42" s="41" t="str">
        <x:v>0</x:v>
      </x:c>
      <x:c r="P42" s="41" t="str"/>
      <x:c r="Q42" s="41" t="str">
        <x:v>206.0</x:v>
      </x:c>
      <x:c r="R42" s="41" t="str">
        <x:v>22.1</x:v>
      </x:c>
      <x:c r="S42" s="41" t="str">
        <x:v>12.4</x:v>
      </x:c>
      <x:c r="T42" s="41" t="str">
        <x:v>0</x:v>
      </x:c>
      <x:c r="U42" s="41" t="str">
        <x:v>0</x:v>
      </x:c>
      <x:c r="V42" s="41" t="str">
        <x:v>61.0</x:v>
      </x:c>
      <x:c r="W42" s="41" t="str">
        <x:v>0.1549</x:v>
      </x:c>
      <x:c r="X42" s="41" t="str">
        <x:v>повседневный базовый продукт; проверить корректность состояния продукта</x:v>
      </x:c>
      <x:c r="Y42" s="38" t="str">
        <x:v>NOT_REVIEWED</x:v>
      </x:c>
      <x:c r="Z42" s="38" t="str">
        <x:v>NOT_REVIEWED</x:v>
      </x:c>
      <x:c r="AA42" s="38" t="str">
        <x:v>NOT_REVIEWED</x:v>
      </x:c>
      <x:c r="AB42" s="38" t="str">
        <x:v>NOT_REVIEWED</x:v>
      </x:c>
      <x:c r="AC42" s="38" t="str">
        <x:v>NOT_REVIEWED</x:v>
      </x:c>
      <x:c r="AD42" s="38" t="str">
        <x:v>NOT_REVIEWED</x:v>
      </x:c>
      <x:c r="AE42" s="38" t="str">
        <x:v>NOT_REVIEWED</x:v>
      </x:c>
      <x:c r="AF42" s="38" t="str">
        <x:v>NOT_REVIEWED</x:v>
      </x:c>
      <x:c r="AG42" s="38" t="str">
        <x:v>NOT_REVIEWED</x:v>
      </x:c>
      <x:c r="AH42" s="41" t="str"/>
      <x:c r="AI42" s="41" t="str"/>
      <x:c r="AJ42" s="41" t="str"/>
      <x:c r="AK42" s="41" t="str"/>
      <x:c r="AL42" s="41" t="str"/>
    </x:row>
    <x:row r="43" ht="144" hidden="0" customHeight="1">
      <x:c r="A43" s="38" t="str">
        <x:v>42</x:v>
      </x:c>
      <x:c r="B43" s="38" t="str">
        <x:v>Мясо, рыба и растительные белки</x:v>
      </x:c>
      <x:c r="C43" s="41" t="str">
        <x:v>salmon_fillet_raw</x:v>
      </x:c>
      <x:c r="D43" s="41" t="str">
        <x:v>Лосось атлантический выращенный, филе, сырой</x:v>
      </x:c>
      <x:c r="E43" s="41" t="str">
        <x:v>Seafood &amp; Plant Protein</x:v>
      </x:c>
      <x:c r="F43" s="41" t="str">
        <x:v>raw</x:v>
      </x:c>
      <x:c r="G43" s="38" t="str">
        <x:v>MEDIUM</x:v>
      </x:c>
      <x:c r="H43" s="38" t="str">
        <x:v>0.62</x:v>
      </x:c>
      <x:c r="I43" s="38" t="str">
        <x:v>CONDITIONALLY_ACCEPTED</x:v>
      </x:c>
      <x:c r="J43" s="41" t="str">
        <x:v>BORROWED_PROXY</x:v>
      </x:c>
      <x:c r="K43" s="41" t="str">
        <x:v>USDA_FDC_FOUNDATION_PROFILE:ATLANTIC_SALMON_FARMED_RAW</x:v>
      </x:c>
      <x:c r="L43" s="41" t="str">
        <x:v>USDA_FOODDATA_CENTRAL_OR_TRANSPARENT_SPECIES_ANALOGUE</x:v>
      </x:c>
      <x:c r="M43" s="41" t="str">
        <x:v>Foundation/SR profile with explicit yield conversion</x:v>
      </x:c>
      <x:c r="N43" s="41" t="str"/>
      <x:c r="O43" s="41" t="str">
        <x:v>4</x:v>
      </x:c>
      <x:c r="P43" s="41" t="str">
        <x:v>added_sugar; carbs_per_100g; fiber_per_100g; sugar_per_100g</x:v>
      </x:c>
      <x:c r="Q43" s="41" t="str">
        <x:v>208.0</x:v>
      </x:c>
      <x:c r="R43" s="41" t="str">
        <x:v>20.42</x:v>
      </x:c>
      <x:c r="S43" s="41" t="str">
        <x:v>13.42</x:v>
      </x:c>
      <x:c r="T43" s="41" t="str">
        <x:v>0.0</x:v>
      </x:c>
      <x:c r="U43" s="41" t="str">
        <x:v>0.0</x:v>
      </x:c>
      <x:c r="V43" s="41" t="str">
        <x:v>59.0</x:v>
      </x:c>
      <x:c r="W43" s="41" t="str">
        <x:v>0.1501</x:v>
      </x:c>
      <x:c r="X43" s="41" t="str">
        <x:v>повседневный базовый продукт; предполагаемых нулей: 4; проверить корректность состояния продукта</x:v>
      </x:c>
      <x:c r="Y43" s="38" t="str">
        <x:v>NOT_REVIEWED</x:v>
      </x:c>
      <x:c r="Z43" s="38" t="str">
        <x:v>NOT_REVIEWED</x:v>
      </x:c>
      <x:c r="AA43" s="38" t="str">
        <x:v>NOT_REVIEWED</x:v>
      </x:c>
      <x:c r="AB43" s="38" t="str">
        <x:v>NOT_REVIEWED</x:v>
      </x:c>
      <x:c r="AC43" s="38" t="str">
        <x:v>NOT_REVIEWED</x:v>
      </x:c>
      <x:c r="AD43" s="38" t="str">
        <x:v>NOT_REVIEWED</x:v>
      </x:c>
      <x:c r="AE43" s="38" t="str">
        <x:v>NOT_REVIEWED</x:v>
      </x:c>
      <x:c r="AF43" s="38" t="str">
        <x:v>NOT_REVIEWED</x:v>
      </x:c>
      <x:c r="AG43" s="38" t="str">
        <x:v>NOT_REVIEWED</x:v>
      </x:c>
      <x:c r="AH43" s="41" t="str"/>
      <x:c r="AI43" s="41" t="str"/>
      <x:c r="AJ43" s="41" t="str"/>
      <x:c r="AK43" s="41" t="str"/>
      <x:c r="AL43" s="41" t="str"/>
    </x:row>
    <x:row r="44" ht="204" hidden="0" customHeight="1">
      <x:c r="A44" s="38" t="str">
        <x:v>43</x:v>
      </x:c>
      <x:c r="B44" s="38" t="str">
        <x:v>Мясо, рыба и растительные белки</x:v>
      </x:c>
      <x:c r="C44" s="41" t="str">
        <x:v>cod_baked_spp</x:v>
      </x:c>
      <x:c r="D44" s="41" t="str">
        <x:v>Треска, запечённая</x:v>
      </x:c>
      <x:c r="E44" s="41" t="str">
        <x:v>Seafood &amp; Plant Protein</x:v>
      </x:c>
      <x:c r="F44" s="41" t="str">
        <x:v>cooked</x:v>
      </x:c>
      <x:c r="G44" s="38" t="str">
        <x:v>MEDIUM</x:v>
      </x:c>
      <x:c r="H44" s="38" t="str">
        <x:v>0.73</x:v>
      </x:c>
      <x:c r="I44" s="38" t="str">
        <x:v>CONDITIONALLY_ACCEPTED</x:v>
      </x:c>
      <x:c r="J44" s="41" t="str">
        <x:v>MIXED_SOURCE</x:v>
      </x:c>
      <x:c r="K44" s="41" t="str">
        <x:v>USDA_FDC_FNDDS:2706241</x:v>
      </x:c>
      <x:c r="L44" s="41" t="str">
        <x:v>USDA_FDC_FNDDS_2021_2023</x:v>
      </x:c>
      <x:c r="M44" s="41" t="str">
        <x:v>FNDDS 2021-2023</x:v>
      </x:c>
      <x:c r="N44" s="41" t="str">
        <x:v>https://fdc.nal.usda.gov/fdc-app.html#/food-details/2706241/nutrients</x:v>
      </x:c>
      <x:c r="O44" s="41" t="str">
        <x:v>3</x:v>
      </x:c>
      <x:c r="P44" s="41" t="str">
        <x:v>added_sugar; fiber_per_100g; vitamin_c_mg</x:v>
      </x:c>
      <x:c r="Q44" s="41" t="str">
        <x:v>126.0</x:v>
      </x:c>
      <x:c r="R44" s="41" t="str">
        <x:v>19.0</x:v>
      </x:c>
      <x:c r="S44" s="41" t="str">
        <x:v>5.04</x:v>
      </x:c>
      <x:c r="T44" s="41" t="str">
        <x:v>0.01</x:v>
      </x:c>
      <x:c r="U44" s="41" t="str">
        <x:v>0</x:v>
      </x:c>
      <x:c r="V44" s="41" t="str">
        <x:v>351.0</x:v>
      </x:c>
      <x:c r="W44" s="41" t="str">
        <x:v>0.8915</x:v>
      </x:c>
      <x:c r="X44" s="41" t="str">
        <x:v>повседневный базовый продукт; предполагаемых нулей: 3; проверить дубликаты/каноническую карточку; проверить корректность состояния продукта</x:v>
      </x:c>
      <x:c r="Y44" s="38" t="str">
        <x:v>NOT_REVIEWED</x:v>
      </x:c>
      <x:c r="Z44" s="38" t="str">
        <x:v>NOT_REVIEWED</x:v>
      </x:c>
      <x:c r="AA44" s="38" t="str">
        <x:v>NOT_REVIEWED</x:v>
      </x:c>
      <x:c r="AB44" s="38" t="str">
        <x:v>NOT_REVIEWED</x:v>
      </x:c>
      <x:c r="AC44" s="38" t="str">
        <x:v>NOT_REVIEWED</x:v>
      </x:c>
      <x:c r="AD44" s="38" t="str">
        <x:v>NOT_REVIEWED</x:v>
      </x:c>
      <x:c r="AE44" s="38" t="str">
        <x:v>NOT_REVIEWED</x:v>
      </x:c>
      <x:c r="AF44" s="38" t="str">
        <x:v>NOT_REVIEWED</x:v>
      </x:c>
      <x:c r="AG44" s="38" t="str">
        <x:v>NOT_REVIEWED</x:v>
      </x:c>
      <x:c r="AH44" s="41" t="str"/>
      <x:c r="AI44" s="41" t="str"/>
      <x:c r="AJ44" s="41" t="str"/>
      <x:c r="AK44" s="41" t="str"/>
      <x:c r="AL44" s="41" t="str"/>
    </x:row>
    <x:row r="45" ht="144" hidden="0" customHeight="1">
      <x:c r="A45" s="38" t="str">
        <x:v>44</x:v>
      </x:c>
      <x:c r="B45" s="38" t="str">
        <x:v>Мясо, рыба и растительные белки</x:v>
      </x:c>
      <x:c r="C45" s="41" t="str">
        <x:v>cod_steamed_or_poached_fndds</x:v>
      </x:c>
      <x:c r="D45" s="41" t="str">
        <x:v>Треска на пару или припущенная, типовой FNDDS</x:v>
      </x:c>
      <x:c r="E45" s="41" t="str">
        <x:v>Protein Foods</x:v>
      </x:c>
      <x:c r="F45" s="41" t="str">
        <x:v>steamed_or_poached</x:v>
      </x:c>
      <x:c r="G45" s="38" t="str">
        <x:v>MEDIUM</x:v>
      </x:c>
      <x:c r="H45" s="38" t="str">
        <x:v>0.55</x:v>
      </x:c>
      <x:c r="I45" s="38" t="str">
        <x:v>CONDITIONALLY_ACCEPTED</x:v>
      </x:c>
      <x:c r="J45" s="41" t="str">
        <x:v>DERIVED_MODEL</x:v>
      </x:c>
      <x:c r="K45" s="41" t="str">
        <x:v>USDA_FNDDS_MYFOODDATA:782471</x:v>
      </x:c>
      <x:c r="L45" s="41" t="str">
        <x:v>USDA_FNDDS</x:v>
      </x:c>
      <x:c r="M45" s="41" t="str">
        <x:v>v5.3.178 source-backed preparation coverage</x:v>
      </x:c>
      <x:c r="N45" s="41" t="str">
        <x:v>https://tools.myfooddata.com/nutrition-facts/782471/wt1</x:v>
      </x:c>
      <x:c r="O45" s="41" t="str">
        <x:v>6</x:v>
      </x:c>
      <x:c r="P45" s="41" t="str">
        <x:v>added_sugar; carbs_per_100g; fiber_per_100g; sugar_per_100g; vitamin_c_mg; vitamin_k_mcg</x:v>
      </x:c>
      <x:c r="Q45" s="41" t="str">
        <x:v>87.0588</x:v>
      </x:c>
      <x:c r="R45" s="41" t="str">
        <x:v>19.1765</x:v>
      </x:c>
      <x:c r="S45" s="41" t="str">
        <x:v>0.5176</x:v>
      </x:c>
      <x:c r="T45" s="41" t="str">
        <x:v>0.0</x:v>
      </x:c>
      <x:c r="U45" s="41" t="str">
        <x:v>0.0</x:v>
      </x:c>
      <x:c r="V45" s="41" t="str">
        <x:v>446.0</x:v>
      </x:c>
      <x:c r="W45" s="41" t="str">
        <x:v>1.133</x:v>
      </x:c>
      <x:c r="X45" s="41" t="str">
        <x:v>повседневный базовый продукт; предполагаемых нулей: 6</x:v>
      </x:c>
      <x:c r="Y45" s="38" t="str">
        <x:v>NOT_REVIEWED</x:v>
      </x:c>
      <x:c r="Z45" s="38" t="str">
        <x:v>NOT_REVIEWED</x:v>
      </x:c>
      <x:c r="AA45" s="38" t="str">
        <x:v>NOT_REVIEWED</x:v>
      </x:c>
      <x:c r="AB45" s="38" t="str">
        <x:v>NOT_REVIEWED</x:v>
      </x:c>
      <x:c r="AC45" s="38" t="str">
        <x:v>NOT_REVIEWED</x:v>
      </x:c>
      <x:c r="AD45" s="38" t="str">
        <x:v>NOT_REVIEWED</x:v>
      </x:c>
      <x:c r="AE45" s="38" t="str">
        <x:v>NOT_REVIEWED</x:v>
      </x:c>
      <x:c r="AF45" s="38" t="str">
        <x:v>NOT_REVIEWED</x:v>
      </x:c>
      <x:c r="AG45" s="38" t="str">
        <x:v>NOT_REVIEWED</x:v>
      </x:c>
      <x:c r="AH45" s="41" t="str"/>
      <x:c r="AI45" s="41" t="str"/>
      <x:c r="AJ45" s="41" t="str"/>
      <x:c r="AK45" s="41" t="str"/>
      <x:c r="AL45" s="41" t="str"/>
    </x:row>
    <x:row r="46" ht="144" hidden="0" customHeight="1">
      <x:c r="A46" s="38" t="str">
        <x:v>45</x:v>
      </x:c>
      <x:c r="B46" s="38" t="str">
        <x:v>Мясо, рыба и растительные белки</x:v>
      </x:c>
      <x:c r="C46" s="41" t="str">
        <x:v>mackerel_baked</x:v>
      </x:c>
      <x:c r="D46" s="41" t="str">
        <x:v>Скумбрия, запечённая</x:v>
      </x:c>
      <x:c r="E46" s="41" t="str">
        <x:v>Seafood &amp; Plant Protein</x:v>
      </x:c>
      <x:c r="F46" s="41" t="str">
        <x:v>cooked</x:v>
      </x:c>
      <x:c r="G46" s="38" t="str">
        <x:v>MEDIUM</x:v>
      </x:c>
      <x:c r="H46" s="38" t="str">
        <x:v>0.73</x:v>
      </x:c>
      <x:c r="I46" s="38" t="str">
        <x:v>CONDITIONALLY_ACCEPTED</x:v>
      </x:c>
      <x:c r="J46" s="41" t="str">
        <x:v>MIXED_SOURCE</x:v>
      </x:c>
      <x:c r="K46" s="41" t="str">
        <x:v>USDA_FDC_FNDDS:2706264</x:v>
      </x:c>
      <x:c r="L46" s="41" t="str">
        <x:v>USDA_FDC_FNDDS_2021_2023</x:v>
      </x:c>
      <x:c r="M46" s="41" t="str">
        <x:v>FNDDS 2021-2023</x:v>
      </x:c>
      <x:c r="N46" s="41" t="str">
        <x:v>https://fdc.nal.usda.gov/fdc-app.html#/food-details/2706264/nutrients</x:v>
      </x:c>
      <x:c r="O46" s="41" t="str">
        <x:v>2</x:v>
      </x:c>
      <x:c r="P46" s="41" t="str">
        <x:v>added_sugar; fiber_per_100g</x:v>
      </x:c>
      <x:c r="Q46" s="41" t="str">
        <x:v>237.0</x:v>
      </x:c>
      <x:c r="R46" s="41" t="str">
        <x:v>24.9</x:v>
      </x:c>
      <x:c r="S46" s="41" t="str">
        <x:v>14.3</x:v>
      </x:c>
      <x:c r="T46" s="41" t="str">
        <x:v>0.01</x:v>
      </x:c>
      <x:c r="U46" s="41" t="str">
        <x:v>0</x:v>
      </x:c>
      <x:c r="V46" s="41" t="str">
        <x:v>322.0</x:v>
      </x:c>
      <x:c r="W46" s="41" t="str">
        <x:v>0.8179</x:v>
      </x:c>
      <x:c r="X46" s="41" t="str">
        <x:v>повседневный базовый продукт; предполагаемых нулей: 2; проверить корректность состояния продукта</x:v>
      </x:c>
      <x:c r="Y46" s="38" t="str">
        <x:v>NOT_REVIEWED</x:v>
      </x:c>
      <x:c r="Z46" s="38" t="str">
        <x:v>NOT_REVIEWED</x:v>
      </x:c>
      <x:c r="AA46" s="38" t="str">
        <x:v>NOT_REVIEWED</x:v>
      </x:c>
      <x:c r="AB46" s="38" t="str">
        <x:v>NOT_REVIEWED</x:v>
      </x:c>
      <x:c r="AC46" s="38" t="str">
        <x:v>NOT_REVIEWED</x:v>
      </x:c>
      <x:c r="AD46" s="38" t="str">
        <x:v>NOT_REVIEWED</x:v>
      </x:c>
      <x:c r="AE46" s="38" t="str">
        <x:v>NOT_REVIEWED</x:v>
      </x:c>
      <x:c r="AF46" s="38" t="str">
        <x:v>NOT_REVIEWED</x:v>
      </x:c>
      <x:c r="AG46" s="38" t="str">
        <x:v>NOT_REVIEWED</x:v>
      </x:c>
      <x:c r="AH46" s="41" t="str"/>
      <x:c r="AI46" s="41" t="str"/>
      <x:c r="AJ46" s="41" t="str"/>
      <x:c r="AK46" s="41" t="str"/>
      <x:c r="AL46" s="41" t="str"/>
    </x:row>
    <x:row r="47" ht="108" hidden="0" customHeight="1">
      <x:c r="A47" s="38" t="str">
        <x:v>46</x:v>
      </x:c>
      <x:c r="B47" s="38" t="str">
        <x:v>Мясо, рыба и растительные белки</x:v>
      </x:c>
      <x:c r="C47" s="41" t="str">
        <x:v>herring_pickled</x:v>
      </x:c>
      <x:c r="D47" s="41" t="str">
        <x:v>Сельдь маринованная</x:v>
      </x:c>
      <x:c r="E47" s="41" t="str">
        <x:v>Seafood &amp; Plant Protein</x:v>
      </x:c>
      <x:c r="F47" s="41" t="str">
        <x:v>prepared</x:v>
      </x:c>
      <x:c r="G47" s="38" t="str">
        <x:v>HIGH</x:v>
      </x:c>
      <x:c r="H47" s="38" t="str">
        <x:v>0.98</x:v>
      </x:c>
      <x:c r="I47" s="38" t="str">
        <x:v>VERIFIED</x:v>
      </x:c>
      <x:c r="J47" s="41" t="str">
        <x:v>PRIMARY_DATASET</x:v>
      </x:c>
      <x:c r="K47" s="41" t="str">
        <x:v>USDA_FDC_SR:175118</x:v>
      </x:c>
      <x:c r="L47" s="41" t="str">
        <x:v>USDA_FDC_SR_LEGACY_2018</x:v>
      </x:c>
      <x:c r="M47" s="41" t="str">
        <x:v>SR Legacy 04/2018</x:v>
      </x:c>
      <x:c r="N47" s="41" t="str">
        <x:v>https://fdc.nal.usda.gov/fdc-app.html#/food-details/175118/nutrients</x:v>
      </x:c>
      <x:c r="O47" s="41" t="str">
        <x:v>0</x:v>
      </x:c>
      <x:c r="P47" s="41" t="str"/>
      <x:c r="Q47" s="41" t="str">
        <x:v>262.0</x:v>
      </x:c>
      <x:c r="R47" s="41" t="str">
        <x:v>14.2</x:v>
      </x:c>
      <x:c r="S47" s="41" t="str">
        <x:v>18.0</x:v>
      </x:c>
      <x:c r="T47" s="41" t="str">
        <x:v>9.64</x:v>
      </x:c>
      <x:c r="U47" s="41" t="str">
        <x:v>0</x:v>
      </x:c>
      <x:c r="V47" s="41" t="str">
        <x:v>870.0</x:v>
      </x:c>
      <x:c r="W47" s="41" t="str">
        <x:v>2.2098</x:v>
      </x:c>
      <x:c r="X47" s="41" t="str">
        <x:v>повседневный базовый продукт; проверить корректность состояния продукта</x:v>
      </x:c>
      <x:c r="Y47" s="38" t="str">
        <x:v>NOT_REVIEWED</x:v>
      </x:c>
      <x:c r="Z47" s="38" t="str">
        <x:v>NOT_REVIEWED</x:v>
      </x:c>
      <x:c r="AA47" s="38" t="str">
        <x:v>NOT_REVIEWED</x:v>
      </x:c>
      <x:c r="AB47" s="38" t="str">
        <x:v>NOT_REVIEWED</x:v>
      </x:c>
      <x:c r="AC47" s="38" t="str">
        <x:v>NOT_REVIEWED</x:v>
      </x:c>
      <x:c r="AD47" s="38" t="str">
        <x:v>NOT_REVIEWED</x:v>
      </x:c>
      <x:c r="AE47" s="38" t="str">
        <x:v>NOT_REVIEWED</x:v>
      </x:c>
      <x:c r="AF47" s="38" t="str">
        <x:v>NOT_REVIEWED</x:v>
      </x:c>
      <x:c r="AG47" s="38" t="str">
        <x:v>NOT_REVIEWED</x:v>
      </x:c>
      <x:c r="AH47" s="41" t="str"/>
      <x:c r="AI47" s="41" t="str"/>
      <x:c r="AJ47" s="41" t="str"/>
      <x:c r="AK47" s="41" t="str"/>
      <x:c r="AL47" s="41" t="str"/>
    </x:row>
    <x:row r="48" ht="168" hidden="0" customHeight="1">
      <x:c r="A48" s="38" t="str">
        <x:v>47</x:v>
      </x:c>
      <x:c r="B48" s="38" t="str">
        <x:v>Мясо, рыба и растительные белки</x:v>
      </x:c>
      <x:c r="C48" s="41" t="str">
        <x:v>tuna_canned_water</x:v>
      </x:c>
      <x:c r="D48" s="41" t="str">
        <x:v>Тунец консервированный в воде, без жидкости</x:v>
      </x:c>
      <x:c r="E48" s="41" t="str">
        <x:v>Seafood &amp; Plant Protein</x:v>
      </x:c>
      <x:c r="F48" s="41" t="str">
        <x:v>canned</x:v>
      </x:c>
      <x:c r="G48" s="38" t="str">
        <x:v>LOW</x:v>
      </x:c>
      <x:c r="H48" s="38" t="str">
        <x:v>0.52</x:v>
      </x:c>
      <x:c r="I48" s="38" t="str">
        <x:v>REVIEW_REQUIRED</x:v>
      </x:c>
      <x:c r="J48" s="41" t="str">
        <x:v>BORROWED_PROXY</x:v>
      </x:c>
      <x:c r="K48" s="41" t="str">
        <x:v>USDA_SR_LEGACY_NDB:15121</x:v>
      </x:c>
      <x:c r="L48" s="41" t="str">
        <x:v>USDA_FOODDATA_CENTRAL_SR_LEGACY_2018</x:v>
      </x:c>
      <x:c r="M48" s="41" t="str">
        <x:v>v5.3.68 product DB QA pass, 2026-07-08</x:v>
      </x:c>
      <x:c r="N48" s="41" t="str">
        <x:v>https://fdc.nal.usda.gov/food-search/</x:v>
      </x:c>
      <x:c r="O48" s="41" t="str">
        <x:v>5</x:v>
      </x:c>
      <x:c r="P48" s="41" t="str">
        <x:v>added_sugar; carbs_per_100g; fiber_per_100g; sugar_per_100g; vitamin_c_mg</x:v>
      </x:c>
      <x:c r="Q48" s="41" t="str">
        <x:v>116.0</x:v>
      </x:c>
      <x:c r="R48" s="41" t="str">
        <x:v>26.0</x:v>
      </x:c>
      <x:c r="S48" s="41" t="str">
        <x:v>1.0</x:v>
      </x:c>
      <x:c r="T48" s="41" t="str">
        <x:v>0</x:v>
      </x:c>
      <x:c r="U48" s="41" t="str">
        <x:v>0</x:v>
      </x:c>
      <x:c r="V48" s="41" t="str">
        <x:v>102.0</x:v>
      </x:c>
      <x:c r="W48" s="41" t="str">
        <x:v>0.2591</x:v>
      </x:c>
      <x:c r="X48" s="41" t="str">
        <x:v>обязательная проверка: LOW / REVIEW_REQUIRED; предполагаемых нулей: 5; проверить корректность состояния продукта</x:v>
      </x:c>
      <x:c r="Y48" s="38" t="str">
        <x:v>NOT_REVIEWED</x:v>
      </x:c>
      <x:c r="Z48" s="38" t="str">
        <x:v>NOT_REVIEWED</x:v>
      </x:c>
      <x:c r="AA48" s="38" t="str">
        <x:v>NOT_REVIEWED</x:v>
      </x:c>
      <x:c r="AB48" s="38" t="str">
        <x:v>NOT_REVIEWED</x:v>
      </x:c>
      <x:c r="AC48" s="38" t="str">
        <x:v>NOT_REVIEWED</x:v>
      </x:c>
      <x:c r="AD48" s="38" t="str">
        <x:v>NOT_REVIEWED</x:v>
      </x:c>
      <x:c r="AE48" s="38" t="str">
        <x:v>NOT_REVIEWED</x:v>
      </x:c>
      <x:c r="AF48" s="38" t="str">
        <x:v>NOT_REVIEWED</x:v>
      </x:c>
      <x:c r="AG48" s="38" t="str">
        <x:v>NOT_REVIEWED</x:v>
      </x:c>
      <x:c r="AH48" s="41" t="str"/>
      <x:c r="AI48" s="41" t="str"/>
      <x:c r="AJ48" s="41" t="str"/>
      <x:c r="AK48" s="41" t="str"/>
      <x:c r="AL48" s="41" t="str"/>
    </x:row>
    <x:row r="49" ht="108" hidden="0" customHeight="1">
      <x:c r="A49" s="38" t="str">
        <x:v>48</x:v>
      </x:c>
      <x:c r="B49" s="38" t="str">
        <x:v>Мясо, рыба и растительные белки</x:v>
      </x:c>
      <x:c r="C49" s="41" t="str">
        <x:v>chickpeas_boiled</x:v>
      </x:c>
      <x:c r="D49" s="41" t="str">
        <x:v>Нут, варёный</x:v>
      </x:c>
      <x:c r="E49" s="41" t="str">
        <x:v>Legumes, Nuts &amp; Seeds</x:v>
      </x:c>
      <x:c r="F49" s="41" t="str">
        <x:v>cooked</x:v>
      </x:c>
      <x:c r="G49" s="38" t="str">
        <x:v>HIGH</x:v>
      </x:c>
      <x:c r="H49" s="38" t="str">
        <x:v>0.98</x:v>
      </x:c>
      <x:c r="I49" s="38" t="str">
        <x:v>VERIFIED</x:v>
      </x:c>
      <x:c r="J49" s="41" t="str">
        <x:v>PRIMARY_DATASET</x:v>
      </x:c>
      <x:c r="K49" s="41" t="str">
        <x:v>USDA_FDC_SR:173757</x:v>
      </x:c>
      <x:c r="L49" s="41" t="str">
        <x:v>USDA Standard Release via MyFoodData/FDC</x:v>
      </x:c>
      <x:c r="M49" s="41" t="str">
        <x:v>v5.3.68 metadata completion, 2026-07-08</x:v>
      </x:c>
      <x:c r="N49" s="41" t="str">
        <x:v>https://tools.myfooddata.com/nutrition-facts/173757/wt1</x:v>
      </x:c>
      <x:c r="O49" s="41" t="str">
        <x:v>0</x:v>
      </x:c>
      <x:c r="P49" s="41" t="str"/>
      <x:c r="Q49" s="41" t="str">
        <x:v>164.0</x:v>
      </x:c>
      <x:c r="R49" s="41" t="str">
        <x:v>8.86</x:v>
      </x:c>
      <x:c r="S49" s="41" t="str">
        <x:v>2.59</x:v>
      </x:c>
      <x:c r="T49" s="41" t="str">
        <x:v>27.4</x:v>
      </x:c>
      <x:c r="U49" s="41" t="str">
        <x:v>7.6</x:v>
      </x:c>
      <x:c r="V49" s="41" t="str">
        <x:v>7.0</x:v>
      </x:c>
      <x:c r="W49" s="41" t="str">
        <x:v>0.0178</x:v>
      </x:c>
      <x:c r="X49" s="41" t="str">
        <x:v>повседневный базовый продукт; проверить корректность состояния продукта</x:v>
      </x:c>
      <x:c r="Y49" s="38" t="str">
        <x:v>NOT_REVIEWED</x:v>
      </x:c>
      <x:c r="Z49" s="38" t="str">
        <x:v>NOT_REVIEWED</x:v>
      </x:c>
      <x:c r="AA49" s="38" t="str">
        <x:v>NOT_REVIEWED</x:v>
      </x:c>
      <x:c r="AB49" s="38" t="str">
        <x:v>NOT_REVIEWED</x:v>
      </x:c>
      <x:c r="AC49" s="38" t="str">
        <x:v>NOT_REVIEWED</x:v>
      </x:c>
      <x:c r="AD49" s="38" t="str">
        <x:v>NOT_REVIEWED</x:v>
      </x:c>
      <x:c r="AE49" s="38" t="str">
        <x:v>NOT_REVIEWED</x:v>
      </x:c>
      <x:c r="AF49" s="38" t="str">
        <x:v>NOT_REVIEWED</x:v>
      </x:c>
      <x:c r="AG49" s="38" t="str">
        <x:v>NOT_REVIEWED</x:v>
      </x:c>
      <x:c r="AH49" s="41" t="str"/>
      <x:c r="AI49" s="41" t="str"/>
      <x:c r="AJ49" s="41" t="str"/>
      <x:c r="AK49" s="41" t="str"/>
      <x:c r="AL49" s="41" t="str"/>
    </x:row>
    <x:row r="50" ht="108" hidden="0" customHeight="1">
      <x:c r="A50" s="38" t="str">
        <x:v>49</x:v>
      </x:c>
      <x:c r="B50" s="38" t="str">
        <x:v>Мясо, рыба и растительные белки</x:v>
      </x:c>
      <x:c r="C50" s="41" t="str">
        <x:v>lentils_boiled</x:v>
      </x:c>
      <x:c r="D50" s="41" t="str">
        <x:v>Чечевица, варёная</x:v>
      </x:c>
      <x:c r="E50" s="41" t="str">
        <x:v>Legumes, Nuts &amp; Seeds</x:v>
      </x:c>
      <x:c r="F50" s="41" t="str">
        <x:v>cooked</x:v>
      </x:c>
      <x:c r="G50" s="38" t="str">
        <x:v>HIGH</x:v>
      </x:c>
      <x:c r="H50" s="38" t="str">
        <x:v>0.98</x:v>
      </x:c>
      <x:c r="I50" s="38" t="str">
        <x:v>VERIFIED</x:v>
      </x:c>
      <x:c r="J50" s="41" t="str">
        <x:v>PRIMARY_DATASET</x:v>
      </x:c>
      <x:c r="K50" s="41" t="str">
        <x:v>USDA_FDC_SR:172421</x:v>
      </x:c>
      <x:c r="L50" s="41" t="str">
        <x:v>USDA_FDC_SR_LEGACY_2018</x:v>
      </x:c>
      <x:c r="M50" s="41" t="str">
        <x:v>SR Legacy 04/2018</x:v>
      </x:c>
      <x:c r="N50" s="41" t="str">
        <x:v>https://fdc.nal.usda.gov/fdc-app.html#/food-details/172421/nutrients</x:v>
      </x:c>
      <x:c r="O50" s="41" t="str">
        <x:v>0</x:v>
      </x:c>
      <x:c r="P50" s="41" t="str"/>
      <x:c r="Q50" s="41" t="str">
        <x:v>116.0</x:v>
      </x:c>
      <x:c r="R50" s="41" t="str">
        <x:v>9.02</x:v>
      </x:c>
      <x:c r="S50" s="41" t="str">
        <x:v>0.38</x:v>
      </x:c>
      <x:c r="T50" s="41" t="str">
        <x:v>20.1</x:v>
      </x:c>
      <x:c r="U50" s="41" t="str">
        <x:v>7.9</x:v>
      </x:c>
      <x:c r="V50" s="41" t="str">
        <x:v>2.0</x:v>
      </x:c>
      <x:c r="W50" s="41" t="str">
        <x:v>0.0051</x:v>
      </x:c>
      <x:c r="X50" s="41" t="str">
        <x:v>повседневный базовый продукт; проверить корректность состояния продукта</x:v>
      </x:c>
      <x:c r="Y50" s="38" t="str">
        <x:v>NOT_REVIEWED</x:v>
      </x:c>
      <x:c r="Z50" s="38" t="str">
        <x:v>NOT_REVIEWED</x:v>
      </x:c>
      <x:c r="AA50" s="38" t="str">
        <x:v>NOT_REVIEWED</x:v>
      </x:c>
      <x:c r="AB50" s="38" t="str">
        <x:v>NOT_REVIEWED</x:v>
      </x:c>
      <x:c r="AC50" s="38" t="str">
        <x:v>NOT_REVIEWED</x:v>
      </x:c>
      <x:c r="AD50" s="38" t="str">
        <x:v>NOT_REVIEWED</x:v>
      </x:c>
      <x:c r="AE50" s="38" t="str">
        <x:v>NOT_REVIEWED</x:v>
      </x:c>
      <x:c r="AF50" s="38" t="str">
        <x:v>NOT_REVIEWED</x:v>
      </x:c>
      <x:c r="AG50" s="38" t="str">
        <x:v>NOT_REVIEWED</x:v>
      </x:c>
      <x:c r="AH50" s="41" t="str"/>
      <x:c r="AI50" s="41" t="str"/>
      <x:c r="AJ50" s="41" t="str"/>
      <x:c r="AK50" s="41" t="str"/>
      <x:c r="AL50" s="41" t="str"/>
    </x:row>
    <x:row r="51" ht="108" hidden="0" customHeight="1">
      <x:c r="A51" s="38" t="str">
        <x:v>50</x:v>
      </x:c>
      <x:c r="B51" s="38" t="str">
        <x:v>Мясо, рыба и растительные белки</x:v>
      </x:c>
      <x:c r="C51" s="41" t="str">
        <x:v>kidney_beans_boiled</x:v>
      </x:c>
      <x:c r="D51" s="41" t="str">
        <x:v>Фасоль красная, варёная</x:v>
      </x:c>
      <x:c r="E51" s="41" t="str">
        <x:v>Legumes, Nuts &amp; Seeds</x:v>
      </x:c>
      <x:c r="F51" s="41" t="str">
        <x:v>cooked</x:v>
      </x:c>
      <x:c r="G51" s="38" t="str">
        <x:v>HIGH</x:v>
      </x:c>
      <x:c r="H51" s="38" t="str">
        <x:v>0.98</x:v>
      </x:c>
      <x:c r="I51" s="38" t="str">
        <x:v>VERIFIED</x:v>
      </x:c>
      <x:c r="J51" s="41" t="str">
        <x:v>PRIMARY_DATASET</x:v>
      </x:c>
      <x:c r="K51" s="41" t="str">
        <x:v>USDA_FDC_SR:175194</x:v>
      </x:c>
      <x:c r="L51" s="41" t="str">
        <x:v>USDA_FDC_SR_LEGACY_2018</x:v>
      </x:c>
      <x:c r="M51" s="41" t="str">
        <x:v>SR Legacy 04/2018</x:v>
      </x:c>
      <x:c r="N51" s="41" t="str">
        <x:v>https://fdc.nal.usda.gov/fdc-app.html#/food-details/175194/nutrients</x:v>
      </x:c>
      <x:c r="O51" s="41" t="str">
        <x:v>0</x:v>
      </x:c>
      <x:c r="P51" s="41" t="str"/>
      <x:c r="Q51" s="41" t="str">
        <x:v>127.0</x:v>
      </x:c>
      <x:c r="R51" s="41" t="str">
        <x:v>8.67</x:v>
      </x:c>
      <x:c r="S51" s="41" t="str">
        <x:v>0.5</x:v>
      </x:c>
      <x:c r="T51" s="41" t="str">
        <x:v>22.8</x:v>
      </x:c>
      <x:c r="U51" s="41" t="str">
        <x:v>7.4</x:v>
      </x:c>
      <x:c r="V51" s="41" t="str">
        <x:v>2.0</x:v>
      </x:c>
      <x:c r="W51" s="41" t="str">
        <x:v>0.0051</x:v>
      </x:c>
      <x:c r="X51" s="41" t="str">
        <x:v>повседневный базовый продукт; проверить корректность состояния продукта</x:v>
      </x:c>
      <x:c r="Y51" s="38" t="str">
        <x:v>NOT_REVIEWED</x:v>
      </x:c>
      <x:c r="Z51" s="38" t="str">
        <x:v>NOT_REVIEWED</x:v>
      </x:c>
      <x:c r="AA51" s="38" t="str">
        <x:v>NOT_REVIEWED</x:v>
      </x:c>
      <x:c r="AB51" s="38" t="str">
        <x:v>NOT_REVIEWED</x:v>
      </x:c>
      <x:c r="AC51" s="38" t="str">
        <x:v>NOT_REVIEWED</x:v>
      </x:c>
      <x:c r="AD51" s="38" t="str">
        <x:v>NOT_REVIEWED</x:v>
      </x:c>
      <x:c r="AE51" s="38" t="str">
        <x:v>NOT_REVIEWED</x:v>
      </x:c>
      <x:c r="AF51" s="38" t="str">
        <x:v>NOT_REVIEWED</x:v>
      </x:c>
      <x:c r="AG51" s="38" t="str">
        <x:v>NOT_REVIEWED</x:v>
      </x:c>
      <x:c r="AH51" s="41" t="str"/>
      <x:c r="AI51" s="41" t="str"/>
      <x:c r="AJ51" s="41" t="str"/>
      <x:c r="AK51" s="41" t="str"/>
      <x:c r="AL51" s="41" t="str"/>
    </x:row>
    <x:row r="52" ht="108" hidden="0" customHeight="1">
      <x:c r="A52" s="38" t="str">
        <x:v>51</x:v>
      </x:c>
      <x:c r="B52" s="38" t="str">
        <x:v>Мясо, рыба и растительные белки</x:v>
      </x:c>
      <x:c r="C52" s="41" t="str">
        <x:v>peas_split_boiled</x:v>
      </x:c>
      <x:c r="D52" s="41" t="str">
        <x:v>Горох колотый, варёный</x:v>
      </x:c>
      <x:c r="E52" s="41" t="str">
        <x:v>Legumes, Nuts &amp; Seeds</x:v>
      </x:c>
      <x:c r="F52" s="41" t="str">
        <x:v>cooked</x:v>
      </x:c>
      <x:c r="G52" s="38" t="str">
        <x:v>HIGH</x:v>
      </x:c>
      <x:c r="H52" s="38" t="str">
        <x:v>0.98</x:v>
      </x:c>
      <x:c r="I52" s="38" t="str">
        <x:v>VERIFIED</x:v>
      </x:c>
      <x:c r="J52" s="41" t="str">
        <x:v>PRIMARY_DATASET</x:v>
      </x:c>
      <x:c r="K52" s="41" t="str">
        <x:v>USDA_FDC_SR:172429</x:v>
      </x:c>
      <x:c r="L52" s="41" t="str">
        <x:v>USDA_FDC_SR_LEGACY_2018</x:v>
      </x:c>
      <x:c r="M52" s="41" t="str">
        <x:v>SR Legacy 04/2018</x:v>
      </x:c>
      <x:c r="N52" s="41" t="str">
        <x:v>https://fdc.nal.usda.gov/fdc-app.html#/food-details/172429/nutrients</x:v>
      </x:c>
      <x:c r="O52" s="41" t="str">
        <x:v>0</x:v>
      </x:c>
      <x:c r="P52" s="41" t="str"/>
      <x:c r="Q52" s="41" t="str">
        <x:v>118.0</x:v>
      </x:c>
      <x:c r="R52" s="41" t="str">
        <x:v>8.34</x:v>
      </x:c>
      <x:c r="S52" s="41" t="str">
        <x:v>0.39</x:v>
      </x:c>
      <x:c r="T52" s="41" t="str">
        <x:v>21.1</x:v>
      </x:c>
      <x:c r="U52" s="41" t="str">
        <x:v>8.3</x:v>
      </x:c>
      <x:c r="V52" s="41" t="str">
        <x:v>2.0</x:v>
      </x:c>
      <x:c r="W52" s="41" t="str">
        <x:v>0.0051</x:v>
      </x:c>
      <x:c r="X52" s="41" t="str">
        <x:v>повседневный базовый продукт; проверить корректность состояния продукта</x:v>
      </x:c>
      <x:c r="Y52" s="38" t="str">
        <x:v>NOT_REVIEWED</x:v>
      </x:c>
      <x:c r="Z52" s="38" t="str">
        <x:v>NOT_REVIEWED</x:v>
      </x:c>
      <x:c r="AA52" s="38" t="str">
        <x:v>NOT_REVIEWED</x:v>
      </x:c>
      <x:c r="AB52" s="38" t="str">
        <x:v>NOT_REVIEWED</x:v>
      </x:c>
      <x:c r="AC52" s="38" t="str">
        <x:v>NOT_REVIEWED</x:v>
      </x:c>
      <x:c r="AD52" s="38" t="str">
        <x:v>NOT_REVIEWED</x:v>
      </x:c>
      <x:c r="AE52" s="38" t="str">
        <x:v>NOT_REVIEWED</x:v>
      </x:c>
      <x:c r="AF52" s="38" t="str">
        <x:v>NOT_REVIEWED</x:v>
      </x:c>
      <x:c r="AG52" s="38" t="str">
        <x:v>NOT_REVIEWED</x:v>
      </x:c>
      <x:c r="AH52" s="41" t="str"/>
      <x:c r="AI52" s="41" t="str"/>
      <x:c r="AJ52" s="41" t="str"/>
      <x:c r="AK52" s="41" t="str"/>
      <x:c r="AL52" s="41" t="str"/>
    </x:row>
    <x:row r="53" ht="108" hidden="0" customHeight="1">
      <x:c r="A53" s="38" t="str">
        <x:v>52</x:v>
      </x:c>
      <x:c r="B53" s="38" t="str">
        <x:v>Мясо, рыба и растительные белки</x:v>
      </x:c>
      <x:c r="C53" s="41" t="str">
        <x:v>tofu_firm</x:v>
      </x:c>
      <x:c r="D53" s="41" t="str">
        <x:v>Тофу, плотный</x:v>
      </x:c>
      <x:c r="E53" s="41" t="str">
        <x:v>Legumes, Nuts &amp; Seeds</x:v>
      </x:c>
      <x:c r="F53" s="41" t="str">
        <x:v>raw</x:v>
      </x:c>
      <x:c r="G53" s="38" t="str">
        <x:v>HIGH</x:v>
      </x:c>
      <x:c r="H53" s="38" t="str">
        <x:v>0.98</x:v>
      </x:c>
      <x:c r="I53" s="38" t="str">
        <x:v>VERIFIED</x:v>
      </x:c>
      <x:c r="J53" s="41" t="str">
        <x:v>PRIMARY_DATASET</x:v>
      </x:c>
      <x:c r="K53" s="41" t="str">
        <x:v>USDA_FDC_SR:172448</x:v>
      </x:c>
      <x:c r="L53" s="41" t="str">
        <x:v>USDA_FDC_SR_LEGACY_2018</x:v>
      </x:c>
      <x:c r="M53" s="41" t="str">
        <x:v>SR Legacy 04/2018</x:v>
      </x:c>
      <x:c r="N53" s="41" t="str">
        <x:v>https://fdc.nal.usda.gov/fdc-app.html#/food-details/172448/nutrients</x:v>
      </x:c>
      <x:c r="O53" s="41" t="str">
        <x:v>0</x:v>
      </x:c>
      <x:c r="P53" s="41" t="str"/>
      <x:c r="Q53" s="41" t="str">
        <x:v>78.0</x:v>
      </x:c>
      <x:c r="R53" s="41" t="str">
        <x:v>9.04</x:v>
      </x:c>
      <x:c r="S53" s="41" t="str">
        <x:v>4.17</x:v>
      </x:c>
      <x:c r="T53" s="41" t="str">
        <x:v>2.85</x:v>
      </x:c>
      <x:c r="U53" s="41" t="str">
        <x:v>0.9</x:v>
      </x:c>
      <x:c r="V53" s="41" t="str">
        <x:v>12.0</x:v>
      </x:c>
      <x:c r="W53" s="41" t="str">
        <x:v>0.0305</x:v>
      </x:c>
      <x:c r="X53" s="41" t="str">
        <x:v>повседневный базовый продукт; проверить корректность состояния продукта</x:v>
      </x:c>
      <x:c r="Y53" s="38" t="str">
        <x:v>NOT_REVIEWED</x:v>
      </x:c>
      <x:c r="Z53" s="38" t="str">
        <x:v>NOT_REVIEWED</x:v>
      </x:c>
      <x:c r="AA53" s="38" t="str">
        <x:v>NOT_REVIEWED</x:v>
      </x:c>
      <x:c r="AB53" s="38" t="str">
        <x:v>NOT_REVIEWED</x:v>
      </x:c>
      <x:c r="AC53" s="38" t="str">
        <x:v>NOT_REVIEWED</x:v>
      </x:c>
      <x:c r="AD53" s="38" t="str">
        <x:v>NOT_REVIEWED</x:v>
      </x:c>
      <x:c r="AE53" s="38" t="str">
        <x:v>NOT_REVIEWED</x:v>
      </x:c>
      <x:c r="AF53" s="38" t="str">
        <x:v>NOT_REVIEWED</x:v>
      </x:c>
      <x:c r="AG53" s="38" t="str">
        <x:v>NOT_REVIEWED</x:v>
      </x:c>
      <x:c r="AH53" s="41" t="str"/>
      <x:c r="AI53" s="41" t="str"/>
      <x:c r="AJ53" s="41" t="str"/>
      <x:c r="AK53" s="41" t="str"/>
      <x:c r="AL53" s="41" t="str"/>
    </x:row>
    <x:row r="54" ht="108" hidden="0" customHeight="1">
      <x:c r="A54" s="38" t="str">
        <x:v>53</x:v>
      </x:c>
      <x:c r="B54" s="38" t="str">
        <x:v>Овощи</x:v>
      </x:c>
      <x:c r="C54" s="41" t="str">
        <x:v>tomato_raw</x:v>
      </x:c>
      <x:c r="D54" s="41" t="str">
        <x:v>Томаты (сырые)</x:v>
      </x:c>
      <x:c r="E54" s="41" t="str">
        <x:v>Vegetables</x:v>
      </x:c>
      <x:c r="F54" s="41" t="str">
        <x:v>raw</x:v>
      </x:c>
      <x:c r="G54" s="38" t="str">
        <x:v>HIGH</x:v>
      </x:c>
      <x:c r="H54" s="38" t="str">
        <x:v>0.98</x:v>
      </x:c>
      <x:c r="I54" s="38" t="str">
        <x:v>VERIFIED</x:v>
      </x:c>
      <x:c r="J54" s="41" t="str">
        <x:v>PRIMARY_DATASET</x:v>
      </x:c>
      <x:c r="K54" s="41" t="str">
        <x:v>USDA_FDC_SR:170457</x:v>
      </x:c>
      <x:c r="L54" s="41" t="str">
        <x:v>USDA Standard Release via MyFoodData/FDC</x:v>
      </x:c>
      <x:c r="M54" s="41" t="str">
        <x:v>v5.3.68 metadata completion, 2026-07-08</x:v>
      </x:c>
      <x:c r="N54" s="41" t="str">
        <x:v>https://tools.myfooddata.com/nutrition-facts/170457/wt6</x:v>
      </x:c>
      <x:c r="O54" s="41" t="str">
        <x:v>0</x:v>
      </x:c>
      <x:c r="P54" s="41" t="str"/>
      <x:c r="Q54" s="41" t="str">
        <x:v>18.0</x:v>
      </x:c>
      <x:c r="R54" s="41" t="str">
        <x:v>0.9</x:v>
      </x:c>
      <x:c r="S54" s="41" t="str">
        <x:v>0.2</x:v>
      </x:c>
      <x:c r="T54" s="41" t="str">
        <x:v>3.9</x:v>
      </x:c>
      <x:c r="U54" s="41" t="str">
        <x:v>1.2</x:v>
      </x:c>
      <x:c r="V54" s="41" t="str">
        <x:v>5.0</x:v>
      </x:c>
      <x:c r="W54" s="41" t="str">
        <x:v>0.0127</x:v>
      </x:c>
      <x:c r="X54" s="41" t="str">
        <x:v>повседневный базовый продукт; проверить корректность состояния продукта</x:v>
      </x:c>
      <x:c r="Y54" s="38" t="str">
        <x:v>NOT_REVIEWED</x:v>
      </x:c>
      <x:c r="Z54" s="38" t="str">
        <x:v>NOT_REVIEWED</x:v>
      </x:c>
      <x:c r="AA54" s="38" t="str">
        <x:v>NOT_REVIEWED</x:v>
      </x:c>
      <x:c r="AB54" s="38" t="str">
        <x:v>NOT_REVIEWED</x:v>
      </x:c>
      <x:c r="AC54" s="38" t="str">
        <x:v>NOT_REVIEWED</x:v>
      </x:c>
      <x:c r="AD54" s="38" t="str">
        <x:v>NOT_REVIEWED</x:v>
      </x:c>
      <x:c r="AE54" s="38" t="str">
        <x:v>NOT_REVIEWED</x:v>
      </x:c>
      <x:c r="AF54" s="38" t="str">
        <x:v>NOT_REVIEWED</x:v>
      </x:c>
      <x:c r="AG54" s="38" t="str">
        <x:v>NOT_REVIEWED</x:v>
      </x:c>
      <x:c r="AH54" s="41" t="str"/>
      <x:c r="AI54" s="41" t="str"/>
      <x:c r="AJ54" s="41" t="str"/>
      <x:c r="AK54" s="41" t="str"/>
      <x:c r="AL54" s="41" t="str"/>
    </x:row>
    <x:row r="55" ht="144" hidden="0" customHeight="1">
      <x:c r="A55" s="38" t="str">
        <x:v>54</x:v>
      </x:c>
      <x:c r="B55" s="38" t="str">
        <x:v>Овощи</x:v>
      </x:c>
      <x:c r="C55" s="41" t="str">
        <x:v>cucumber_raw</x:v>
      </x:c>
      <x:c r="D55" s="41" t="str">
        <x:v>Огурцы (сырые)</x:v>
      </x:c>
      <x:c r="E55" s="41" t="str">
        <x:v>Vegetables</x:v>
      </x:c>
      <x:c r="F55" s="41" t="str">
        <x:v>raw</x:v>
      </x:c>
      <x:c r="G55" s="38" t="str">
        <x:v>MEDIUM</x:v>
      </x:c>
      <x:c r="H55" s="38" t="str">
        <x:v>0.63</x:v>
      </x:c>
      <x:c r="I55" s="38" t="str">
        <x:v>CONDITIONALLY_ACCEPTED</x:v>
      </x:c>
      <x:c r="J55" s="41" t="str">
        <x:v>BORROWED_PROXY</x:v>
      </x:c>
      <x:c r="K55" s="41" t="str">
        <x:v>LOGIC_PROXY:cucumber_raw</x:v>
      </x:c>
      <x:c r="L55" s="41" t="str">
        <x:v>INTERNAL_LOGIC_PROXY_FROM_CURRENT_DB_KBJU_AND_FOOD_CLASS</x:v>
      </x:c>
      <x:c r="M55" s="41" t="str">
        <x:v>v5.3.68 product DB QA pass, 2026-07-08</x:v>
      </x:c>
      <x:c r="N55" s="41" t="str">
        <x:v>internal://nutrition-calculator/logic-proxy/v5.3.68/cucumber_raw</x:v>
      </x:c>
      <x:c r="O55" s="41" t="str">
        <x:v>3</x:v>
      </x:c>
      <x:c r="P55" s="41" t="str">
        <x:v>added_sugar; vitamin_b12_mcg; vitamin_d_mcg</x:v>
      </x:c>
      <x:c r="Q55" s="41" t="str">
        <x:v>16.0</x:v>
      </x:c>
      <x:c r="R55" s="41" t="str">
        <x:v>0.7</x:v>
      </x:c>
      <x:c r="S55" s="41" t="str">
        <x:v>0.1</x:v>
      </x:c>
      <x:c r="T55" s="41" t="str">
        <x:v>3.6</x:v>
      </x:c>
      <x:c r="U55" s="41" t="str">
        <x:v>0.5</x:v>
      </x:c>
      <x:c r="V55" s="41" t="str">
        <x:v>2.0</x:v>
      </x:c>
      <x:c r="W55" s="41" t="str">
        <x:v>0.0051</x:v>
      </x:c>
      <x:c r="X55" s="41" t="str">
        <x:v>повседневный базовый продукт; предполагаемых нулей: 3; проверить корректность состояния продукта</x:v>
      </x:c>
      <x:c r="Y55" s="38" t="str">
        <x:v>NOT_REVIEWED</x:v>
      </x:c>
      <x:c r="Z55" s="38" t="str">
        <x:v>NOT_REVIEWED</x:v>
      </x:c>
      <x:c r="AA55" s="38" t="str">
        <x:v>NOT_REVIEWED</x:v>
      </x:c>
      <x:c r="AB55" s="38" t="str">
        <x:v>NOT_REVIEWED</x:v>
      </x:c>
      <x:c r="AC55" s="38" t="str">
        <x:v>NOT_REVIEWED</x:v>
      </x:c>
      <x:c r="AD55" s="38" t="str">
        <x:v>NOT_REVIEWED</x:v>
      </x:c>
      <x:c r="AE55" s="38" t="str">
        <x:v>NOT_REVIEWED</x:v>
      </x:c>
      <x:c r="AF55" s="38" t="str">
        <x:v>NOT_REVIEWED</x:v>
      </x:c>
      <x:c r="AG55" s="38" t="str">
        <x:v>NOT_REVIEWED</x:v>
      </x:c>
      <x:c r="AH55" s="41" t="str"/>
      <x:c r="AI55" s="41" t="str"/>
      <x:c r="AJ55" s="41" t="str"/>
      <x:c r="AK55" s="41" t="str"/>
      <x:c r="AL55" s="41" t="str"/>
    </x:row>
    <x:row r="56" ht="144" hidden="0" customHeight="1">
      <x:c r="A56" s="38" t="str">
        <x:v>55</x:v>
      </x:c>
      <x:c r="B56" s="38" t="str">
        <x:v>Овощи</x:v>
      </x:c>
      <x:c r="C56" s="41" t="str">
        <x:v>carrot_raw</x:v>
      </x:c>
      <x:c r="D56" s="41" t="str">
        <x:v>Морковь (сырая)</x:v>
      </x:c>
      <x:c r="E56" s="41" t="str">
        <x:v>Vegetables</x:v>
      </x:c>
      <x:c r="F56" s="41" t="str">
        <x:v>raw</x:v>
      </x:c>
      <x:c r="G56" s="38" t="str">
        <x:v>MEDIUM</x:v>
      </x:c>
      <x:c r="H56" s="38" t="str">
        <x:v>0.63</x:v>
      </x:c>
      <x:c r="I56" s="38" t="str">
        <x:v>CONDITIONALLY_ACCEPTED</x:v>
      </x:c>
      <x:c r="J56" s="41" t="str">
        <x:v>BORROWED_PROXY</x:v>
      </x:c>
      <x:c r="K56" s="41" t="str">
        <x:v>LOGIC_PROXY:carrot_raw</x:v>
      </x:c>
      <x:c r="L56" s="41" t="str">
        <x:v>INTERNAL_LOGIC_PROXY_FROM_CURRENT_DB_KBJU_AND_FOOD_CLASS</x:v>
      </x:c>
      <x:c r="M56" s="41" t="str">
        <x:v>v5.3.68 product DB QA pass, 2026-07-08</x:v>
      </x:c>
      <x:c r="N56" s="41" t="str">
        <x:v>internal://nutrition-calculator/logic-proxy/v5.3.68/carrot_raw</x:v>
      </x:c>
      <x:c r="O56" s="41" t="str">
        <x:v>3</x:v>
      </x:c>
      <x:c r="P56" s="41" t="str">
        <x:v>added_sugar; vitamin_b12_mcg; vitamin_d_mcg</x:v>
      </x:c>
      <x:c r="Q56" s="41" t="str">
        <x:v>41.0</x:v>
      </x:c>
      <x:c r="R56" s="41" t="str">
        <x:v>0.93</x:v>
      </x:c>
      <x:c r="S56" s="41" t="str">
        <x:v>0.24</x:v>
      </x:c>
      <x:c r="T56" s="41" t="str">
        <x:v>9.58</x:v>
      </x:c>
      <x:c r="U56" s="41" t="str">
        <x:v>2.8</x:v>
      </x:c>
      <x:c r="V56" s="41" t="str">
        <x:v>69.0</x:v>
      </x:c>
      <x:c r="W56" s="41" t="str">
        <x:v>0.1753</x:v>
      </x:c>
      <x:c r="X56" s="41" t="str">
        <x:v>повседневный базовый продукт; предполагаемых нулей: 3; проверить корректность состояния продукта</x:v>
      </x:c>
      <x:c r="Y56" s="38" t="str">
        <x:v>NOT_REVIEWED</x:v>
      </x:c>
      <x:c r="Z56" s="38" t="str">
        <x:v>NOT_REVIEWED</x:v>
      </x:c>
      <x:c r="AA56" s="38" t="str">
        <x:v>NOT_REVIEWED</x:v>
      </x:c>
      <x:c r="AB56" s="38" t="str">
        <x:v>NOT_REVIEWED</x:v>
      </x:c>
      <x:c r="AC56" s="38" t="str">
        <x:v>NOT_REVIEWED</x:v>
      </x:c>
      <x:c r="AD56" s="38" t="str">
        <x:v>NOT_REVIEWED</x:v>
      </x:c>
      <x:c r="AE56" s="38" t="str">
        <x:v>NOT_REVIEWED</x:v>
      </x:c>
      <x:c r="AF56" s="38" t="str">
        <x:v>NOT_REVIEWED</x:v>
      </x:c>
      <x:c r="AG56" s="38" t="str">
        <x:v>NOT_REVIEWED</x:v>
      </x:c>
      <x:c r="AH56" s="41" t="str"/>
      <x:c r="AI56" s="41" t="str"/>
      <x:c r="AJ56" s="41" t="str"/>
      <x:c r="AK56" s="41" t="str"/>
      <x:c r="AL56" s="41" t="str"/>
    </x:row>
    <x:row r="57" ht="108" hidden="0" customHeight="1">
      <x:c r="A57" s="38" t="str">
        <x:v>56</x:v>
      </x:c>
      <x:c r="B57" s="38" t="str">
        <x:v>Овощи</x:v>
      </x:c>
      <x:c r="C57" s="41" t="str">
        <x:v>carrot_boiled</x:v>
      </x:c>
      <x:c r="D57" s="41" t="str">
        <x:v>Морковь отварная</x:v>
      </x:c>
      <x:c r="E57" s="41" t="str">
        <x:v>Vegetables</x:v>
      </x:c>
      <x:c r="F57" s="41" t="str">
        <x:v>boiled</x:v>
      </x:c>
      <x:c r="G57" s="38" t="str">
        <x:v>HIGH</x:v>
      </x:c>
      <x:c r="H57" s="38" t="str">
        <x:v>0.98</x:v>
      </x:c>
      <x:c r="I57" s="38" t="str">
        <x:v>VERIFIED</x:v>
      </x:c>
      <x:c r="J57" s="41" t="str">
        <x:v>PRIMARY_DATASET</x:v>
      </x:c>
      <x:c r="K57" s="41" t="str">
        <x:v>USDA_FDC_SR:170394</x:v>
      </x:c>
      <x:c r="L57" s="41" t="str">
        <x:v>USDA_FDC_SR_LEGACY_2018</x:v>
      </x:c>
      <x:c r="M57" s="41" t="str">
        <x:v>SR Legacy 04/2018</x:v>
      </x:c>
      <x:c r="N57" s="41" t="str">
        <x:v>https://fdc.nal.usda.gov/fdc-app.html#/food-details/170394/nutrients</x:v>
      </x:c>
      <x:c r="O57" s="41" t="str">
        <x:v>0</x:v>
      </x:c>
      <x:c r="P57" s="41" t="str"/>
      <x:c r="Q57" s="41" t="str">
        <x:v>35.0</x:v>
      </x:c>
      <x:c r="R57" s="41" t="str">
        <x:v>0.76</x:v>
      </x:c>
      <x:c r="S57" s="41" t="str">
        <x:v>0.18</x:v>
      </x:c>
      <x:c r="T57" s="41" t="str">
        <x:v>8.22</x:v>
      </x:c>
      <x:c r="U57" s="41" t="str">
        <x:v>3.0</x:v>
      </x:c>
      <x:c r="V57" s="41" t="str">
        <x:v>58.0</x:v>
      </x:c>
      <x:c r="W57" s="41" t="str">
        <x:v>0.1473</x:v>
      </x:c>
      <x:c r="X57" s="41" t="str">
        <x:v>повседневный базовый продукт; проверить корректность состояния продукта</x:v>
      </x:c>
      <x:c r="Y57" s="38" t="str">
        <x:v>NOT_REVIEWED</x:v>
      </x:c>
      <x:c r="Z57" s="38" t="str">
        <x:v>NOT_REVIEWED</x:v>
      </x:c>
      <x:c r="AA57" s="38" t="str">
        <x:v>NOT_REVIEWED</x:v>
      </x:c>
      <x:c r="AB57" s="38" t="str">
        <x:v>NOT_REVIEWED</x:v>
      </x:c>
      <x:c r="AC57" s="38" t="str">
        <x:v>NOT_REVIEWED</x:v>
      </x:c>
      <x:c r="AD57" s="38" t="str">
        <x:v>NOT_REVIEWED</x:v>
      </x:c>
      <x:c r="AE57" s="38" t="str">
        <x:v>NOT_REVIEWED</x:v>
      </x:c>
      <x:c r="AF57" s="38" t="str">
        <x:v>NOT_REVIEWED</x:v>
      </x:c>
      <x:c r="AG57" s="38" t="str">
        <x:v>NOT_REVIEWED</x:v>
      </x:c>
      <x:c r="AH57" s="41" t="str"/>
      <x:c r="AI57" s="41" t="str"/>
      <x:c r="AJ57" s="41" t="str"/>
      <x:c r="AK57" s="41" t="str"/>
      <x:c r="AL57" s="41" t="str"/>
    </x:row>
    <x:row r="58" ht="144" hidden="0" customHeight="1">
      <x:c r="A58" s="38" t="str">
        <x:v>57</x:v>
      </x:c>
      <x:c r="B58" s="38" t="str">
        <x:v>Овощи</x:v>
      </x:c>
      <x:c r="C58" s="41" t="str">
        <x:v>white_cabbage_raw</x:v>
      </x:c>
      <x:c r="D58" s="41" t="str">
        <x:v>Капуста белокочанная (сырая)</x:v>
      </x:c>
      <x:c r="E58" s="41" t="str">
        <x:v>Vegetables</x:v>
      </x:c>
      <x:c r="F58" s="41" t="str">
        <x:v>raw</x:v>
      </x:c>
      <x:c r="G58" s="38" t="str">
        <x:v>MEDIUM</x:v>
      </x:c>
      <x:c r="H58" s="38" t="str">
        <x:v>0.63</x:v>
      </x:c>
      <x:c r="I58" s="38" t="str">
        <x:v>CONDITIONALLY_ACCEPTED</x:v>
      </x:c>
      <x:c r="J58" s="41" t="str">
        <x:v>BORROWED_PROXY</x:v>
      </x:c>
      <x:c r="K58" s="41" t="str">
        <x:v>LOGIC_PROXY:white_cabbage_raw</x:v>
      </x:c>
      <x:c r="L58" s="41" t="str">
        <x:v>INTERNAL_LOGIC_PROXY_FROM_CURRENT_DB_KBJU_AND_FOOD_CLASS</x:v>
      </x:c>
      <x:c r="M58" s="41" t="str">
        <x:v>v5.3.68 product DB QA pass, 2026-07-08</x:v>
      </x:c>
      <x:c r="N58" s="41" t="str">
        <x:v>internal://nutrition-calculator/logic-proxy/v5.3.68/white_cabbage_raw</x:v>
      </x:c>
      <x:c r="O58" s="41" t="str">
        <x:v>3</x:v>
      </x:c>
      <x:c r="P58" s="41" t="str">
        <x:v>added_sugar; vitamin_b12_mcg; vitamin_d_mcg</x:v>
      </x:c>
      <x:c r="Q58" s="41" t="str">
        <x:v>25.0</x:v>
      </x:c>
      <x:c r="R58" s="41" t="str">
        <x:v>1.3</x:v>
      </x:c>
      <x:c r="S58" s="41" t="str">
        <x:v>0.1</x:v>
      </x:c>
      <x:c r="T58" s="41" t="str">
        <x:v>6.0</x:v>
      </x:c>
      <x:c r="U58" s="41" t="str">
        <x:v>2.5</x:v>
      </x:c>
      <x:c r="V58" s="41" t="str">
        <x:v>18.0</x:v>
      </x:c>
      <x:c r="W58" s="41" t="str">
        <x:v>0.0457</x:v>
      </x:c>
      <x:c r="X58" s="41" t="str">
        <x:v>повседневный базовый продукт; предполагаемых нулей: 3; проверить корректность состояния продукта</x:v>
      </x:c>
      <x:c r="Y58" s="38" t="str">
        <x:v>NOT_REVIEWED</x:v>
      </x:c>
      <x:c r="Z58" s="38" t="str">
        <x:v>NOT_REVIEWED</x:v>
      </x:c>
      <x:c r="AA58" s="38" t="str">
        <x:v>NOT_REVIEWED</x:v>
      </x:c>
      <x:c r="AB58" s="38" t="str">
        <x:v>NOT_REVIEWED</x:v>
      </x:c>
      <x:c r="AC58" s="38" t="str">
        <x:v>NOT_REVIEWED</x:v>
      </x:c>
      <x:c r="AD58" s="38" t="str">
        <x:v>NOT_REVIEWED</x:v>
      </x:c>
      <x:c r="AE58" s="38" t="str">
        <x:v>NOT_REVIEWED</x:v>
      </x:c>
      <x:c r="AF58" s="38" t="str">
        <x:v>NOT_REVIEWED</x:v>
      </x:c>
      <x:c r="AG58" s="38" t="str">
        <x:v>NOT_REVIEWED</x:v>
      </x:c>
      <x:c r="AH58" s="41" t="str"/>
      <x:c r="AI58" s="41" t="str"/>
      <x:c r="AJ58" s="41" t="str"/>
      <x:c r="AK58" s="41" t="str"/>
      <x:c r="AL58" s="41" t="str"/>
    </x:row>
    <x:row r="59" ht="84" hidden="0" customHeight="1">
      <x:c r="A59" s="38" t="str">
        <x:v>58</x:v>
      </x:c>
      <x:c r="B59" s="38" t="str">
        <x:v>Овощи</x:v>
      </x:c>
      <x:c r="C59" s="41" t="str">
        <x:v>sauerkraut</x:v>
      </x:c>
      <x:c r="D59" s="41" t="str">
        <x:v>Капуста квашеная</x:v>
      </x:c>
      <x:c r="E59" s="41" t="str">
        <x:v>Vegetables</x:v>
      </x:c>
      <x:c r="F59" s="41" t="str">
        <x:v>fermented</x:v>
      </x:c>
      <x:c r="G59" s="38" t="str">
        <x:v>HIGH</x:v>
      </x:c>
      <x:c r="H59" s="38" t="str">
        <x:v>0.98</x:v>
      </x:c>
      <x:c r="I59" s="38" t="str">
        <x:v>VERIFIED</x:v>
      </x:c>
      <x:c r="J59" s="41" t="str">
        <x:v>PRIMARY_DATASET</x:v>
      </x:c>
      <x:c r="K59" s="41" t="str">
        <x:v>USDA_FDC_FNDDS:2709982</x:v>
      </x:c>
      <x:c r="L59" s="41" t="str">
        <x:v>USDA_FDC_FNDDS_2021_2023</x:v>
      </x:c>
      <x:c r="M59" s="41" t="str">
        <x:v>FNDDS 2021-2023</x:v>
      </x:c>
      <x:c r="N59" s="41" t="str">
        <x:v>https://fdc.nal.usda.gov/fdc-app.html#/food-details/2709982/nutrients</x:v>
      </x:c>
      <x:c r="O59" s="41" t="str">
        <x:v>0</x:v>
      </x:c>
      <x:c r="P59" s="41" t="str"/>
      <x:c r="Q59" s="41" t="str">
        <x:v>40.0</x:v>
      </x:c>
      <x:c r="R59" s="41" t="str">
        <x:v>0.9</x:v>
      </x:c>
      <x:c r="S59" s="41" t="str">
        <x:v>2.53</x:v>
      </x:c>
      <x:c r="T59" s="41" t="str">
        <x:v>4.16</x:v>
      </x:c>
      <x:c r="U59" s="41" t="str">
        <x:v>2.8</x:v>
      </x:c>
      <x:c r="V59" s="41" t="str">
        <x:v>659.0</x:v>
      </x:c>
      <x:c r="W59" s="41" t="str">
        <x:v>1.6739</x:v>
      </x:c>
      <x:c r="X59" s="41" t="str">
        <x:v>повседневный базовый продукт</x:v>
      </x:c>
      <x:c r="Y59" s="38" t="str">
        <x:v>NOT_REVIEWED</x:v>
      </x:c>
      <x:c r="Z59" s="38" t="str">
        <x:v>NOT_REVIEWED</x:v>
      </x:c>
      <x:c r="AA59" s="38" t="str">
        <x:v>NOT_REVIEWED</x:v>
      </x:c>
      <x:c r="AB59" s="38" t="str">
        <x:v>NOT_REVIEWED</x:v>
      </x:c>
      <x:c r="AC59" s="38" t="str">
        <x:v>NOT_REVIEWED</x:v>
      </x:c>
      <x:c r="AD59" s="38" t="str">
        <x:v>NOT_REVIEWED</x:v>
      </x:c>
      <x:c r="AE59" s="38" t="str">
        <x:v>NOT_REVIEWED</x:v>
      </x:c>
      <x:c r="AF59" s="38" t="str">
        <x:v>NOT_REVIEWED</x:v>
      </x:c>
      <x:c r="AG59" s="38" t="str">
        <x:v>NOT_REVIEWED</x:v>
      </x:c>
      <x:c r="AH59" s="41" t="str"/>
      <x:c r="AI59" s="41" t="str"/>
      <x:c r="AJ59" s="41" t="str"/>
      <x:c r="AK59" s="41" t="str"/>
      <x:c r="AL59" s="41" t="str"/>
    </x:row>
    <x:row r="60" ht="108" hidden="0" customHeight="1">
      <x:c r="A60" s="38" t="str">
        <x:v>59</x:v>
      </x:c>
      <x:c r="B60" s="38" t="str">
        <x:v>Овощи</x:v>
      </x:c>
      <x:c r="C60" s="41" t="str">
        <x:v>broccoli_boiled</x:v>
      </x:c>
      <x:c r="D60" s="41" t="str">
        <x:v>Брокколи отварная</x:v>
      </x:c>
      <x:c r="E60" s="41" t="str">
        <x:v>Vegetables</x:v>
      </x:c>
      <x:c r="F60" s="41" t="str">
        <x:v>boiled</x:v>
      </x:c>
      <x:c r="G60" s="38" t="str">
        <x:v>HIGH</x:v>
      </x:c>
      <x:c r="H60" s="38" t="str">
        <x:v>0.98</x:v>
      </x:c>
      <x:c r="I60" s="38" t="str">
        <x:v>VERIFIED</x:v>
      </x:c>
      <x:c r="J60" s="41" t="str">
        <x:v>PRIMARY_DATASET</x:v>
      </x:c>
      <x:c r="K60" s="41" t="str">
        <x:v>USDA_FDC_SR:169967</x:v>
      </x:c>
      <x:c r="L60" s="41" t="str">
        <x:v>USDA_FDC_SR_LEGACY_2018</x:v>
      </x:c>
      <x:c r="M60" s="41" t="str">
        <x:v>SR Legacy 04/2018</x:v>
      </x:c>
      <x:c r="N60" s="41" t="str">
        <x:v>https://fdc.nal.usda.gov/fdc-app.html#/food-details/169967/nutrients</x:v>
      </x:c>
      <x:c r="O60" s="41" t="str">
        <x:v>0</x:v>
      </x:c>
      <x:c r="P60" s="41" t="str"/>
      <x:c r="Q60" s="41" t="str">
        <x:v>35.0</x:v>
      </x:c>
      <x:c r="R60" s="41" t="str">
        <x:v>2.38</x:v>
      </x:c>
      <x:c r="S60" s="41" t="str">
        <x:v>0.41</x:v>
      </x:c>
      <x:c r="T60" s="41" t="str">
        <x:v>7.18</x:v>
      </x:c>
      <x:c r="U60" s="41" t="str">
        <x:v>3.3</x:v>
      </x:c>
      <x:c r="V60" s="41" t="str">
        <x:v>41.0</x:v>
      </x:c>
      <x:c r="W60" s="41" t="str">
        <x:v>0.1041</x:v>
      </x:c>
      <x:c r="X60" s="41" t="str">
        <x:v>повседневный базовый продукт; проверить корректность состояния продукта</x:v>
      </x:c>
      <x:c r="Y60" s="38" t="str">
        <x:v>NOT_REVIEWED</x:v>
      </x:c>
      <x:c r="Z60" s="38" t="str">
        <x:v>NOT_REVIEWED</x:v>
      </x:c>
      <x:c r="AA60" s="38" t="str">
        <x:v>NOT_REVIEWED</x:v>
      </x:c>
      <x:c r="AB60" s="38" t="str">
        <x:v>NOT_REVIEWED</x:v>
      </x:c>
      <x:c r="AC60" s="38" t="str">
        <x:v>NOT_REVIEWED</x:v>
      </x:c>
      <x:c r="AD60" s="38" t="str">
        <x:v>NOT_REVIEWED</x:v>
      </x:c>
      <x:c r="AE60" s="38" t="str">
        <x:v>NOT_REVIEWED</x:v>
      </x:c>
      <x:c r="AF60" s="38" t="str">
        <x:v>NOT_REVIEWED</x:v>
      </x:c>
      <x:c r="AG60" s="38" t="str">
        <x:v>NOT_REVIEWED</x:v>
      </x:c>
      <x:c r="AH60" s="41" t="str"/>
      <x:c r="AI60" s="41" t="str"/>
      <x:c r="AJ60" s="41" t="str"/>
      <x:c r="AK60" s="41" t="str"/>
      <x:c r="AL60" s="41" t="str"/>
    </x:row>
    <x:row r="61" ht="144" hidden="0" customHeight="1">
      <x:c r="A61" s="38" t="str">
        <x:v>60</x:v>
      </x:c>
      <x:c r="B61" s="38" t="str">
        <x:v>Овощи</x:v>
      </x:c>
      <x:c r="C61" s="41" t="str">
        <x:v>broccoli_raw</x:v>
      </x:c>
      <x:c r="D61" s="41" t="str">
        <x:v>Брокколи (сырая)</x:v>
      </x:c>
      <x:c r="E61" s="41" t="str">
        <x:v>Vegetables</x:v>
      </x:c>
      <x:c r="F61" s="41" t="str">
        <x:v>raw</x:v>
      </x:c>
      <x:c r="G61" s="38" t="str">
        <x:v>MEDIUM</x:v>
      </x:c>
      <x:c r="H61" s="38" t="str">
        <x:v>0.63</x:v>
      </x:c>
      <x:c r="I61" s="38" t="str">
        <x:v>CONDITIONALLY_ACCEPTED</x:v>
      </x:c>
      <x:c r="J61" s="41" t="str">
        <x:v>BORROWED_PROXY</x:v>
      </x:c>
      <x:c r="K61" s="41" t="str">
        <x:v>LOGIC_PROXY:broccoli_raw</x:v>
      </x:c>
      <x:c r="L61" s="41" t="str">
        <x:v>INTERNAL_LOGIC_PROXY_FROM_CURRENT_DB_KBJU_AND_FOOD_CLASS</x:v>
      </x:c>
      <x:c r="M61" s="41" t="str">
        <x:v>v5.3.68 product DB QA pass, 2026-07-08</x:v>
      </x:c>
      <x:c r="N61" s="41" t="str">
        <x:v>internal://nutrition-calculator/logic-proxy/v5.3.68/broccoli_raw</x:v>
      </x:c>
      <x:c r="O61" s="41" t="str">
        <x:v>3</x:v>
      </x:c>
      <x:c r="P61" s="41" t="str">
        <x:v>added_sugar; vitamin_b12_mcg; vitamin_d_mcg</x:v>
      </x:c>
      <x:c r="Q61" s="41" t="str">
        <x:v>34.0</x:v>
      </x:c>
      <x:c r="R61" s="41" t="str">
        <x:v>2.8</x:v>
      </x:c>
      <x:c r="S61" s="41" t="str">
        <x:v>0.4</x:v>
      </x:c>
      <x:c r="T61" s="41" t="str">
        <x:v>6.6</x:v>
      </x:c>
      <x:c r="U61" s="41" t="str">
        <x:v>2.6</x:v>
      </x:c>
      <x:c r="V61" s="41" t="str">
        <x:v>33.0</x:v>
      </x:c>
      <x:c r="W61" s="41" t="str">
        <x:v>0.0838</x:v>
      </x:c>
      <x:c r="X61" s="41" t="str">
        <x:v>повседневный базовый продукт; предполагаемых нулей: 3; проверить корректность состояния продукта</x:v>
      </x:c>
      <x:c r="Y61" s="38" t="str">
        <x:v>NOT_REVIEWED</x:v>
      </x:c>
      <x:c r="Z61" s="38" t="str">
        <x:v>NOT_REVIEWED</x:v>
      </x:c>
      <x:c r="AA61" s="38" t="str">
        <x:v>NOT_REVIEWED</x:v>
      </x:c>
      <x:c r="AB61" s="38" t="str">
        <x:v>NOT_REVIEWED</x:v>
      </x:c>
      <x:c r="AC61" s="38" t="str">
        <x:v>NOT_REVIEWED</x:v>
      </x:c>
      <x:c r="AD61" s="38" t="str">
        <x:v>NOT_REVIEWED</x:v>
      </x:c>
      <x:c r="AE61" s="38" t="str">
        <x:v>NOT_REVIEWED</x:v>
      </x:c>
      <x:c r="AF61" s="38" t="str">
        <x:v>NOT_REVIEWED</x:v>
      </x:c>
      <x:c r="AG61" s="38" t="str">
        <x:v>NOT_REVIEWED</x:v>
      </x:c>
      <x:c r="AH61" s="41" t="str"/>
      <x:c r="AI61" s="41" t="str"/>
      <x:c r="AJ61" s="41" t="str"/>
      <x:c r="AK61" s="41" t="str"/>
      <x:c r="AL61" s="41" t="str"/>
    </x:row>
    <x:row r="62" ht="108" hidden="0" customHeight="1">
      <x:c r="A62" s="38" t="str">
        <x:v>61</x:v>
      </x:c>
      <x:c r="B62" s="38" t="str">
        <x:v>Овощи</x:v>
      </x:c>
      <x:c r="C62" s="41" t="str">
        <x:v>cauliflower_boiled</x:v>
      </x:c>
      <x:c r="D62" s="41" t="str">
        <x:v>Цветная капуста отварная</x:v>
      </x:c>
      <x:c r="E62" s="41" t="str">
        <x:v>Vegetables</x:v>
      </x:c>
      <x:c r="F62" s="41" t="str">
        <x:v>boiled</x:v>
      </x:c>
      <x:c r="G62" s="38" t="str">
        <x:v>HIGH</x:v>
      </x:c>
      <x:c r="H62" s="38" t="str">
        <x:v>0.98</x:v>
      </x:c>
      <x:c r="I62" s="38" t="str">
        <x:v>VERIFIED</x:v>
      </x:c>
      <x:c r="J62" s="41" t="str">
        <x:v>PRIMARY_DATASET</x:v>
      </x:c>
      <x:c r="K62" s="41" t="str">
        <x:v>USDA_FDC_SR:170397</x:v>
      </x:c>
      <x:c r="L62" s="41" t="str">
        <x:v>USDA_FDC_SR_LEGACY_2018</x:v>
      </x:c>
      <x:c r="M62" s="41" t="str">
        <x:v>SR Legacy 04/2018</x:v>
      </x:c>
      <x:c r="N62" s="41" t="str">
        <x:v>https://fdc.nal.usda.gov/fdc-app.html#/food-details/170397/nutrients</x:v>
      </x:c>
      <x:c r="O62" s="41" t="str">
        <x:v>0</x:v>
      </x:c>
      <x:c r="P62" s="41" t="str"/>
      <x:c r="Q62" s="41" t="str">
        <x:v>23.0</x:v>
      </x:c>
      <x:c r="R62" s="41" t="str">
        <x:v>1.84</x:v>
      </x:c>
      <x:c r="S62" s="41" t="str">
        <x:v>0.45</x:v>
      </x:c>
      <x:c r="T62" s="41" t="str">
        <x:v>4.11</x:v>
      </x:c>
      <x:c r="U62" s="41" t="str">
        <x:v>2.3</x:v>
      </x:c>
      <x:c r="V62" s="41" t="str">
        <x:v>15.0</x:v>
      </x:c>
      <x:c r="W62" s="41" t="str">
        <x:v>0.0381</x:v>
      </x:c>
      <x:c r="X62" s="41" t="str">
        <x:v>повседневный базовый продукт; проверить корректность состояния продукта</x:v>
      </x:c>
      <x:c r="Y62" s="38" t="str">
        <x:v>NOT_REVIEWED</x:v>
      </x:c>
      <x:c r="Z62" s="38" t="str">
        <x:v>NOT_REVIEWED</x:v>
      </x:c>
      <x:c r="AA62" s="38" t="str">
        <x:v>NOT_REVIEWED</x:v>
      </x:c>
      <x:c r="AB62" s="38" t="str">
        <x:v>NOT_REVIEWED</x:v>
      </x:c>
      <x:c r="AC62" s="38" t="str">
        <x:v>NOT_REVIEWED</x:v>
      </x:c>
      <x:c r="AD62" s="38" t="str">
        <x:v>NOT_REVIEWED</x:v>
      </x:c>
      <x:c r="AE62" s="38" t="str">
        <x:v>NOT_REVIEWED</x:v>
      </x:c>
      <x:c r="AF62" s="38" t="str">
        <x:v>NOT_REVIEWED</x:v>
      </x:c>
      <x:c r="AG62" s="38" t="str">
        <x:v>NOT_REVIEWED</x:v>
      </x:c>
      <x:c r="AH62" s="41" t="str"/>
      <x:c r="AI62" s="41" t="str"/>
      <x:c r="AJ62" s="41" t="str"/>
      <x:c r="AK62" s="41" t="str"/>
      <x:c r="AL62" s="41" t="str"/>
    </x:row>
    <x:row r="63" ht="144" hidden="0" customHeight="1">
      <x:c r="A63" s="38" t="str">
        <x:v>62</x:v>
      </x:c>
      <x:c r="B63" s="38" t="str">
        <x:v>Овощи</x:v>
      </x:c>
      <x:c r="C63" s="41" t="str">
        <x:v>bell_pepper_red_raw</x:v>
      </x:c>
      <x:c r="D63" s="41" t="str">
        <x:v>Перец сладкий красный (сырой)</x:v>
      </x:c>
      <x:c r="E63" s="41" t="str">
        <x:v>Vegetables</x:v>
      </x:c>
      <x:c r="F63" s="41" t="str">
        <x:v>raw</x:v>
      </x:c>
      <x:c r="G63" s="38" t="str">
        <x:v>MEDIUM</x:v>
      </x:c>
      <x:c r="H63" s="38" t="str">
        <x:v>0.63</x:v>
      </x:c>
      <x:c r="I63" s="38" t="str">
        <x:v>CONDITIONALLY_ACCEPTED</x:v>
      </x:c>
      <x:c r="J63" s="41" t="str">
        <x:v>BORROWED_PROXY</x:v>
      </x:c>
      <x:c r="K63" s="41" t="str">
        <x:v>LOGIC_PROXY:bell_pepper_red_raw</x:v>
      </x:c>
      <x:c r="L63" s="41" t="str">
        <x:v>INTERNAL_LOGIC_PROXY_FROM_CURRENT_DB_KBJU_AND_FOOD_CLASS</x:v>
      </x:c>
      <x:c r="M63" s="41" t="str">
        <x:v>v5.3.68 product DB QA pass, 2026-07-08</x:v>
      </x:c>
      <x:c r="N63" s="41" t="str">
        <x:v>internal://nutrition-calculator/logic-proxy/v5.3.68/bell_pepper_red_raw</x:v>
      </x:c>
      <x:c r="O63" s="41" t="str">
        <x:v>3</x:v>
      </x:c>
      <x:c r="P63" s="41" t="str">
        <x:v>added_sugar; vitamin_b12_mcg; vitamin_d_mcg</x:v>
      </x:c>
      <x:c r="Q63" s="41" t="str">
        <x:v>31.0</x:v>
      </x:c>
      <x:c r="R63" s="41" t="str">
        <x:v>1.0</x:v>
      </x:c>
      <x:c r="S63" s="41" t="str">
        <x:v>0.3</x:v>
      </x:c>
      <x:c r="T63" s="41" t="str">
        <x:v>6.0</x:v>
      </x:c>
      <x:c r="U63" s="41" t="str">
        <x:v>2.1</x:v>
      </x:c>
      <x:c r="V63" s="41" t="str">
        <x:v>4.0</x:v>
      </x:c>
      <x:c r="W63" s="41" t="str">
        <x:v>0.0102</x:v>
      </x:c>
      <x:c r="X63" s="41" t="str">
        <x:v>повседневный базовый продукт; предполагаемых нулей: 3; проверить корректность состояния продукта</x:v>
      </x:c>
      <x:c r="Y63" s="38" t="str">
        <x:v>NOT_REVIEWED</x:v>
      </x:c>
      <x:c r="Z63" s="38" t="str">
        <x:v>NOT_REVIEWED</x:v>
      </x:c>
      <x:c r="AA63" s="38" t="str">
        <x:v>NOT_REVIEWED</x:v>
      </x:c>
      <x:c r="AB63" s="38" t="str">
        <x:v>NOT_REVIEWED</x:v>
      </x:c>
      <x:c r="AC63" s="38" t="str">
        <x:v>NOT_REVIEWED</x:v>
      </x:c>
      <x:c r="AD63" s="38" t="str">
        <x:v>NOT_REVIEWED</x:v>
      </x:c>
      <x:c r="AE63" s="38" t="str">
        <x:v>NOT_REVIEWED</x:v>
      </x:c>
      <x:c r="AF63" s="38" t="str">
        <x:v>NOT_REVIEWED</x:v>
      </x:c>
      <x:c r="AG63" s="38" t="str">
        <x:v>NOT_REVIEWED</x:v>
      </x:c>
      <x:c r="AH63" s="41" t="str"/>
      <x:c r="AI63" s="41" t="str"/>
      <x:c r="AJ63" s="41" t="str"/>
      <x:c r="AK63" s="41" t="str"/>
      <x:c r="AL63" s="41" t="str"/>
    </x:row>
    <x:row r="64" ht="144" hidden="0" customHeight="1">
      <x:c r="A64" s="38" t="str">
        <x:v>63</x:v>
      </x:c>
      <x:c r="B64" s="38" t="str">
        <x:v>Овощи</x:v>
      </x:c>
      <x:c r="C64" s="41" t="str">
        <x:v>onion_yellow_raw</x:v>
      </x:c>
      <x:c r="D64" s="41" t="str">
        <x:v>Лук репчатый жёлтый (сырой)</x:v>
      </x:c>
      <x:c r="E64" s="41" t="str">
        <x:v>Vegetables</x:v>
      </x:c>
      <x:c r="F64" s="41" t="str">
        <x:v>raw</x:v>
      </x:c>
      <x:c r="G64" s="38" t="str">
        <x:v>MEDIUM</x:v>
      </x:c>
      <x:c r="H64" s="38" t="str">
        <x:v>0.63</x:v>
      </x:c>
      <x:c r="I64" s="38" t="str">
        <x:v>CONDITIONALLY_ACCEPTED</x:v>
      </x:c>
      <x:c r="J64" s="41" t="str">
        <x:v>BORROWED_PROXY</x:v>
      </x:c>
      <x:c r="K64" s="41" t="str">
        <x:v>LOGIC_PROXY:onion_yellow_raw</x:v>
      </x:c>
      <x:c r="L64" s="41" t="str">
        <x:v>INTERNAL_LOGIC_PROXY_FROM_CURRENT_DB_KBJU_AND_FOOD_CLASS</x:v>
      </x:c>
      <x:c r="M64" s="41" t="str">
        <x:v>v5.3.68 product DB QA pass, 2026-07-08</x:v>
      </x:c>
      <x:c r="N64" s="41" t="str">
        <x:v>internal://nutrition-calculator/logic-proxy/v5.3.68/onion_yellow_raw</x:v>
      </x:c>
      <x:c r="O64" s="41" t="str">
        <x:v>4</x:v>
      </x:c>
      <x:c r="P64" s="41" t="str">
        <x:v>added_sugar; vitamin_a_mcg; vitamin_b12_mcg; vitamin_d_mcg</x:v>
      </x:c>
      <x:c r="Q64" s="41" t="str">
        <x:v>40.0</x:v>
      </x:c>
      <x:c r="R64" s="41" t="str">
        <x:v>1.1</x:v>
      </x:c>
      <x:c r="S64" s="41" t="str">
        <x:v>0.1</x:v>
      </x:c>
      <x:c r="T64" s="41" t="str">
        <x:v>9.3</x:v>
      </x:c>
      <x:c r="U64" s="41" t="str">
        <x:v>1.7</x:v>
      </x:c>
      <x:c r="V64" s="41" t="str">
        <x:v>4.0</x:v>
      </x:c>
      <x:c r="W64" s="41" t="str">
        <x:v>0.0102</x:v>
      </x:c>
      <x:c r="X64" s="41" t="str">
        <x:v>повседневный базовый продукт; предполагаемых нулей: 4; проверить корректность состояния продукта</x:v>
      </x:c>
      <x:c r="Y64" s="38" t="str">
        <x:v>NOT_REVIEWED</x:v>
      </x:c>
      <x:c r="Z64" s="38" t="str">
        <x:v>NOT_REVIEWED</x:v>
      </x:c>
      <x:c r="AA64" s="38" t="str">
        <x:v>NOT_REVIEWED</x:v>
      </x:c>
      <x:c r="AB64" s="38" t="str">
        <x:v>NOT_REVIEWED</x:v>
      </x:c>
      <x:c r="AC64" s="38" t="str">
        <x:v>NOT_REVIEWED</x:v>
      </x:c>
      <x:c r="AD64" s="38" t="str">
        <x:v>NOT_REVIEWED</x:v>
      </x:c>
      <x:c r="AE64" s="38" t="str">
        <x:v>NOT_REVIEWED</x:v>
      </x:c>
      <x:c r="AF64" s="38" t="str">
        <x:v>NOT_REVIEWED</x:v>
      </x:c>
      <x:c r="AG64" s="38" t="str">
        <x:v>NOT_REVIEWED</x:v>
      </x:c>
      <x:c r="AH64" s="41" t="str"/>
      <x:c r="AI64" s="41" t="str"/>
      <x:c r="AJ64" s="41" t="str"/>
      <x:c r="AK64" s="41" t="str"/>
      <x:c r="AL64" s="41" t="str"/>
    </x:row>
    <x:row r="65" ht="144" hidden="0" customHeight="1">
      <x:c r="A65" s="38" t="str">
        <x:v>64</x:v>
      </x:c>
      <x:c r="B65" s="38" t="str">
        <x:v>Овощи</x:v>
      </x:c>
      <x:c r="C65" s="41" t="str">
        <x:v>garlic_raw</x:v>
      </x:c>
      <x:c r="D65" s="41" t="str">
        <x:v>Чеснок (сырой)</x:v>
      </x:c>
      <x:c r="E65" s="41" t="str">
        <x:v>Vegetables</x:v>
      </x:c>
      <x:c r="F65" s="41" t="str">
        <x:v>raw</x:v>
      </x:c>
      <x:c r="G65" s="38" t="str">
        <x:v>MEDIUM</x:v>
      </x:c>
      <x:c r="H65" s="38" t="str">
        <x:v>0.63</x:v>
      </x:c>
      <x:c r="I65" s="38" t="str">
        <x:v>CONDITIONALLY_ACCEPTED</x:v>
      </x:c>
      <x:c r="J65" s="41" t="str">
        <x:v>BORROWED_PROXY</x:v>
      </x:c>
      <x:c r="K65" s="41" t="str">
        <x:v>LOGIC_PROXY:garlic_raw</x:v>
      </x:c>
      <x:c r="L65" s="41" t="str">
        <x:v>INTERNAL_LOGIC_PROXY_FROM_CURRENT_DB_KBJU_AND_FOOD_CLASS</x:v>
      </x:c>
      <x:c r="M65" s="41" t="str">
        <x:v>v5.3.68 product DB QA pass, 2026-07-08</x:v>
      </x:c>
      <x:c r="N65" s="41" t="str">
        <x:v>internal://nutrition-calculator/logic-proxy/v5.3.68/garlic_raw</x:v>
      </x:c>
      <x:c r="O65" s="41" t="str">
        <x:v>4</x:v>
      </x:c>
      <x:c r="P65" s="41" t="str">
        <x:v>added_sugar; vitamin_a_mcg; vitamin_b12_mcg; vitamin_d_mcg</x:v>
      </x:c>
      <x:c r="Q65" s="41" t="str">
        <x:v>149.0</x:v>
      </x:c>
      <x:c r="R65" s="41" t="str">
        <x:v>6.4</x:v>
      </x:c>
      <x:c r="S65" s="41" t="str">
        <x:v>0.5</x:v>
      </x:c>
      <x:c r="T65" s="41" t="str">
        <x:v>33.1</x:v>
      </x:c>
      <x:c r="U65" s="41" t="str">
        <x:v>2.1</x:v>
      </x:c>
      <x:c r="V65" s="41" t="str">
        <x:v>17.0</x:v>
      </x:c>
      <x:c r="W65" s="41" t="str">
        <x:v>0.0432</x:v>
      </x:c>
      <x:c r="X65" s="41" t="str">
        <x:v>повседневный базовый продукт; предполагаемых нулей: 4; проверить корректность состояния продукта</x:v>
      </x:c>
      <x:c r="Y65" s="38" t="str">
        <x:v>NOT_REVIEWED</x:v>
      </x:c>
      <x:c r="Z65" s="38" t="str">
        <x:v>NOT_REVIEWED</x:v>
      </x:c>
      <x:c r="AA65" s="38" t="str">
        <x:v>NOT_REVIEWED</x:v>
      </x:c>
      <x:c r="AB65" s="38" t="str">
        <x:v>NOT_REVIEWED</x:v>
      </x:c>
      <x:c r="AC65" s="38" t="str">
        <x:v>NOT_REVIEWED</x:v>
      </x:c>
      <x:c r="AD65" s="38" t="str">
        <x:v>NOT_REVIEWED</x:v>
      </x:c>
      <x:c r="AE65" s="38" t="str">
        <x:v>NOT_REVIEWED</x:v>
      </x:c>
      <x:c r="AF65" s="38" t="str">
        <x:v>NOT_REVIEWED</x:v>
      </x:c>
      <x:c r="AG65" s="38" t="str">
        <x:v>NOT_REVIEWED</x:v>
      </x:c>
      <x:c r="AH65" s="41" t="str"/>
      <x:c r="AI65" s="41" t="str"/>
      <x:c r="AJ65" s="41" t="str"/>
      <x:c r="AK65" s="41" t="str"/>
      <x:c r="AL65" s="41" t="str"/>
    </x:row>
    <x:row r="66" ht="108" hidden="0" customHeight="1">
      <x:c r="A66" s="38" t="str">
        <x:v>65</x:v>
      </x:c>
      <x:c r="B66" s="38" t="str">
        <x:v>Овощи</x:v>
      </x:c>
      <x:c r="C66" s="41" t="str">
        <x:v>zucchini_stewed</x:v>
      </x:c>
      <x:c r="D66" s="41" t="str">
        <x:v>Кабачок/цукини отварной, без соли</x:v>
      </x:c>
      <x:c r="E66" s="41" t="str">
        <x:v>Vegetables</x:v>
      </x:c>
      <x:c r="F66" s="41" t="str">
        <x:v>boiled</x:v>
      </x:c>
      <x:c r="G66" s="38" t="str">
        <x:v>HIGH</x:v>
      </x:c>
      <x:c r="H66" s="38" t="str">
        <x:v>0.98</x:v>
      </x:c>
      <x:c r="I66" s="38" t="str">
        <x:v>VERIFIED</x:v>
      </x:c>
      <x:c r="J66" s="41" t="str">
        <x:v>PRIMARY_DATASET</x:v>
      </x:c>
      <x:c r="K66" s="41" t="str">
        <x:v>USDA_FDC_SR:169292</x:v>
      </x:c>
      <x:c r="L66" s="41" t="str">
        <x:v>USDA_FDC_SR_LEGACY_2018</x:v>
      </x:c>
      <x:c r="M66" s="41" t="str">
        <x:v>SR Legacy 04/2018</x:v>
      </x:c>
      <x:c r="N66" s="41" t="str">
        <x:v>https://fdc.nal.usda.gov/fdc-app.html#/food-details/169292/nutrients</x:v>
      </x:c>
      <x:c r="O66" s="41" t="str">
        <x:v>0</x:v>
      </x:c>
      <x:c r="P66" s="41" t="str"/>
      <x:c r="Q66" s="41" t="str">
        <x:v>15.0</x:v>
      </x:c>
      <x:c r="R66" s="41" t="str">
        <x:v>1.14</x:v>
      </x:c>
      <x:c r="S66" s="41" t="str">
        <x:v>0.36</x:v>
      </x:c>
      <x:c r="T66" s="41" t="str">
        <x:v>2.69</x:v>
      </x:c>
      <x:c r="U66" s="41" t="str">
        <x:v>1.0</x:v>
      </x:c>
      <x:c r="V66" s="41" t="str">
        <x:v>3.0</x:v>
      </x:c>
      <x:c r="W66" s="41" t="str">
        <x:v>0.0076</x:v>
      </x:c>
      <x:c r="X66" s="41" t="str">
        <x:v>повседневный базовый продукт; проверить корректность состояния продукта</x:v>
      </x:c>
      <x:c r="Y66" s="38" t="str">
        <x:v>NOT_REVIEWED</x:v>
      </x:c>
      <x:c r="Z66" s="38" t="str">
        <x:v>NOT_REVIEWED</x:v>
      </x:c>
      <x:c r="AA66" s="38" t="str">
        <x:v>NOT_REVIEWED</x:v>
      </x:c>
      <x:c r="AB66" s="38" t="str">
        <x:v>NOT_REVIEWED</x:v>
      </x:c>
      <x:c r="AC66" s="38" t="str">
        <x:v>NOT_REVIEWED</x:v>
      </x:c>
      <x:c r="AD66" s="38" t="str">
        <x:v>NOT_REVIEWED</x:v>
      </x:c>
      <x:c r="AE66" s="38" t="str">
        <x:v>NOT_REVIEWED</x:v>
      </x:c>
      <x:c r="AF66" s="38" t="str">
        <x:v>NOT_REVIEWED</x:v>
      </x:c>
      <x:c r="AG66" s="38" t="str">
        <x:v>NOT_REVIEWED</x:v>
      </x:c>
      <x:c r="AH66" s="41" t="str"/>
      <x:c r="AI66" s="41" t="str"/>
      <x:c r="AJ66" s="41" t="str"/>
      <x:c r="AK66" s="41" t="str"/>
      <x:c r="AL66" s="41" t="str"/>
    </x:row>
    <x:row r="67" ht="144" hidden="0" customHeight="1">
      <x:c r="A67" s="38" t="str">
        <x:v>66</x:v>
      </x:c>
      <x:c r="B67" s="38" t="str">
        <x:v>Овощи</x:v>
      </x:c>
      <x:c r="C67" s="41" t="str">
        <x:v>zucchini_raw</x:v>
      </x:c>
      <x:c r="D67" s="41" t="str">
        <x:v>Кабачки/цукини (сырые)</x:v>
      </x:c>
      <x:c r="E67" s="41" t="str">
        <x:v>Vegetables</x:v>
      </x:c>
      <x:c r="F67" s="41" t="str">
        <x:v>raw</x:v>
      </x:c>
      <x:c r="G67" s="38" t="str">
        <x:v>MEDIUM</x:v>
      </x:c>
      <x:c r="H67" s="38" t="str">
        <x:v>0.63</x:v>
      </x:c>
      <x:c r="I67" s="38" t="str">
        <x:v>CONDITIONALLY_ACCEPTED</x:v>
      </x:c>
      <x:c r="J67" s="41" t="str">
        <x:v>BORROWED_PROXY</x:v>
      </x:c>
      <x:c r="K67" s="41" t="str">
        <x:v>LOGIC_PROXY:zucchini_raw</x:v>
      </x:c>
      <x:c r="L67" s="41" t="str">
        <x:v>INTERNAL_LOGIC_PROXY_FROM_CURRENT_DB_KBJU_AND_FOOD_CLASS</x:v>
      </x:c>
      <x:c r="M67" s="41" t="str">
        <x:v>v5.3.68 product DB QA pass, 2026-07-08</x:v>
      </x:c>
      <x:c r="N67" s="41" t="str">
        <x:v>internal://nutrition-calculator/logic-proxy/v5.3.68/zucchini_raw</x:v>
      </x:c>
      <x:c r="O67" s="41" t="str">
        <x:v>3</x:v>
      </x:c>
      <x:c r="P67" s="41" t="str">
        <x:v>added_sugar; vitamin_b12_mcg; vitamin_d_mcg</x:v>
      </x:c>
      <x:c r="Q67" s="41" t="str">
        <x:v>17.0</x:v>
      </x:c>
      <x:c r="R67" s="41" t="str">
        <x:v>1.2</x:v>
      </x:c>
      <x:c r="S67" s="41" t="str">
        <x:v>0.32</x:v>
      </x:c>
      <x:c r="T67" s="41" t="str">
        <x:v>3.1</x:v>
      </x:c>
      <x:c r="U67" s="41" t="str">
        <x:v>1.0</x:v>
      </x:c>
      <x:c r="V67" s="41" t="str">
        <x:v>8.0</x:v>
      </x:c>
      <x:c r="W67" s="41" t="str">
        <x:v>0.0203</x:v>
      </x:c>
      <x:c r="X67" s="41" t="str">
        <x:v>повседневный базовый продукт; предполагаемых нулей: 3; проверить корректность состояния продукта</x:v>
      </x:c>
      <x:c r="Y67" s="38" t="str">
        <x:v>NOT_REVIEWED</x:v>
      </x:c>
      <x:c r="Z67" s="38" t="str">
        <x:v>NOT_REVIEWED</x:v>
      </x:c>
      <x:c r="AA67" s="38" t="str">
        <x:v>NOT_REVIEWED</x:v>
      </x:c>
      <x:c r="AB67" s="38" t="str">
        <x:v>NOT_REVIEWED</x:v>
      </x:c>
      <x:c r="AC67" s="38" t="str">
        <x:v>NOT_REVIEWED</x:v>
      </x:c>
      <x:c r="AD67" s="38" t="str">
        <x:v>NOT_REVIEWED</x:v>
      </x:c>
      <x:c r="AE67" s="38" t="str">
        <x:v>NOT_REVIEWED</x:v>
      </x:c>
      <x:c r="AF67" s="38" t="str">
        <x:v>NOT_REVIEWED</x:v>
      </x:c>
      <x:c r="AG67" s="38" t="str">
        <x:v>NOT_REVIEWED</x:v>
      </x:c>
      <x:c r="AH67" s="41" t="str"/>
      <x:c r="AI67" s="41" t="str"/>
      <x:c r="AJ67" s="41" t="str"/>
      <x:c r="AK67" s="41" t="str"/>
      <x:c r="AL67" s="41" t="str"/>
    </x:row>
    <x:row r="68" ht="84" hidden="0" customHeight="1">
      <x:c r="A68" s="38" t="str">
        <x:v>67</x:v>
      </x:c>
      <x:c r="B68" s="38" t="str">
        <x:v>Овощи</x:v>
      </x:c>
      <x:c r="C68" s="41" t="str">
        <x:v>eggplant_baked</x:v>
      </x:c>
      <x:c r="D68" s="41" t="str">
        <x:v>Баклажан, приготовленный без добавления жира</x:v>
      </x:c>
      <x:c r="E68" s="41" t="str">
        <x:v>Vegetables</x:v>
      </x:c>
      <x:c r="F68" s="41" t="str">
        <x:v>cooked_no_added_fat</x:v>
      </x:c>
      <x:c r="G68" s="38" t="str">
        <x:v>HIGH</x:v>
      </x:c>
      <x:c r="H68" s="38" t="str">
        <x:v>0.98</x:v>
      </x:c>
      <x:c r="I68" s="38" t="str">
        <x:v>VERIFIED</x:v>
      </x:c>
      <x:c r="J68" s="41" t="str">
        <x:v>PRIMARY_DATASET</x:v>
      </x:c>
      <x:c r="K68" s="41" t="str">
        <x:v>USDA_FDC_FNDDS:2709929</x:v>
      </x:c>
      <x:c r="L68" s="41" t="str">
        <x:v>USDA_FDC_FNDDS_2021_2023</x:v>
      </x:c>
      <x:c r="M68" s="41" t="str">
        <x:v>FNDDS 2021-2023</x:v>
      </x:c>
      <x:c r="N68" s="41" t="str">
        <x:v>https://fdc.nal.usda.gov/fdc-app.html#/food-details/2709929/nutrients</x:v>
      </x:c>
      <x:c r="O68" s="41" t="str">
        <x:v>0</x:v>
      </x:c>
      <x:c r="P68" s="41" t="str"/>
      <x:c r="Q68" s="41" t="str">
        <x:v>27.0</x:v>
      </x:c>
      <x:c r="R68" s="41" t="str">
        <x:v>1.05</x:v>
      </x:c>
      <x:c r="S68" s="41" t="str">
        <x:v>0.19</x:v>
      </x:c>
      <x:c r="T68" s="41" t="str">
        <x:v>6.3</x:v>
      </x:c>
      <x:c r="U68" s="41" t="str">
        <x:v>3.2</x:v>
      </x:c>
      <x:c r="V68" s="41" t="str">
        <x:v>127.0</x:v>
      </x:c>
      <x:c r="W68" s="41" t="str">
        <x:v>0.3226</x:v>
      </x:c>
      <x:c r="X68" s="41" t="str">
        <x:v>повседневный базовый продукт</x:v>
      </x:c>
      <x:c r="Y68" s="38" t="str">
        <x:v>NOT_REVIEWED</x:v>
      </x:c>
      <x:c r="Z68" s="38" t="str">
        <x:v>NOT_REVIEWED</x:v>
      </x:c>
      <x:c r="AA68" s="38" t="str">
        <x:v>NOT_REVIEWED</x:v>
      </x:c>
      <x:c r="AB68" s="38" t="str">
        <x:v>NOT_REVIEWED</x:v>
      </x:c>
      <x:c r="AC68" s="38" t="str">
        <x:v>NOT_REVIEWED</x:v>
      </x:c>
      <x:c r="AD68" s="38" t="str">
        <x:v>NOT_REVIEWED</x:v>
      </x:c>
      <x:c r="AE68" s="38" t="str">
        <x:v>NOT_REVIEWED</x:v>
      </x:c>
      <x:c r="AF68" s="38" t="str">
        <x:v>NOT_REVIEWED</x:v>
      </x:c>
      <x:c r="AG68" s="38" t="str">
        <x:v>NOT_REVIEWED</x:v>
      </x:c>
      <x:c r="AH68" s="41" t="str"/>
      <x:c r="AI68" s="41" t="str"/>
      <x:c r="AJ68" s="41" t="str"/>
      <x:c r="AK68" s="41" t="str"/>
      <x:c r="AL68" s="41" t="str"/>
    </x:row>
    <x:row r="69" ht="108" hidden="0" customHeight="1">
      <x:c r="A69" s="38" t="str">
        <x:v>68</x:v>
      </x:c>
      <x:c r="B69" s="38" t="str">
        <x:v>Овощи</x:v>
      </x:c>
      <x:c r="C69" s="41" t="str">
        <x:v>beet_boiled</x:v>
      </x:c>
      <x:c r="D69" s="41" t="str">
        <x:v>Свёкла отварная</x:v>
      </x:c>
      <x:c r="E69" s="41" t="str">
        <x:v>Vegetables</x:v>
      </x:c>
      <x:c r="F69" s="41" t="str">
        <x:v>boiled</x:v>
      </x:c>
      <x:c r="G69" s="38" t="str">
        <x:v>HIGH</x:v>
      </x:c>
      <x:c r="H69" s="38" t="str">
        <x:v>0.98</x:v>
      </x:c>
      <x:c r="I69" s="38" t="str">
        <x:v>VERIFIED</x:v>
      </x:c>
      <x:c r="J69" s="41" t="str">
        <x:v>PRIMARY_DATASET</x:v>
      </x:c>
      <x:c r="K69" s="41" t="str">
        <x:v>USDA_FDC_SR:169146</x:v>
      </x:c>
      <x:c r="L69" s="41" t="str">
        <x:v>USDA_FDC_SR_LEGACY_2018</x:v>
      </x:c>
      <x:c r="M69" s="41" t="str">
        <x:v>SR Legacy 04/2018</x:v>
      </x:c>
      <x:c r="N69" s="41" t="str">
        <x:v>https://fdc.nal.usda.gov/fdc-app.html#/food-details/169146/nutrients</x:v>
      </x:c>
      <x:c r="O69" s="41" t="str">
        <x:v>0</x:v>
      </x:c>
      <x:c r="P69" s="41" t="str"/>
      <x:c r="Q69" s="41" t="str">
        <x:v>44.0</x:v>
      </x:c>
      <x:c r="R69" s="41" t="str">
        <x:v>1.68</x:v>
      </x:c>
      <x:c r="S69" s="41" t="str">
        <x:v>0.18</x:v>
      </x:c>
      <x:c r="T69" s="41" t="str">
        <x:v>9.96</x:v>
      </x:c>
      <x:c r="U69" s="41" t="str">
        <x:v>2.0</x:v>
      </x:c>
      <x:c r="V69" s="41" t="str">
        <x:v>77.0</x:v>
      </x:c>
      <x:c r="W69" s="41" t="str">
        <x:v>0.1956</x:v>
      </x:c>
      <x:c r="X69" s="41" t="str">
        <x:v>повседневный базовый продукт; проверить корректность состояния продукта</x:v>
      </x:c>
      <x:c r="Y69" s="38" t="str">
        <x:v>NOT_REVIEWED</x:v>
      </x:c>
      <x:c r="Z69" s="38" t="str">
        <x:v>NOT_REVIEWED</x:v>
      </x:c>
      <x:c r="AA69" s="38" t="str">
        <x:v>NOT_REVIEWED</x:v>
      </x:c>
      <x:c r="AB69" s="38" t="str">
        <x:v>NOT_REVIEWED</x:v>
      </x:c>
      <x:c r="AC69" s="38" t="str">
        <x:v>NOT_REVIEWED</x:v>
      </x:c>
      <x:c r="AD69" s="38" t="str">
        <x:v>NOT_REVIEWED</x:v>
      </x:c>
      <x:c r="AE69" s="38" t="str">
        <x:v>NOT_REVIEWED</x:v>
      </x:c>
      <x:c r="AF69" s="38" t="str">
        <x:v>NOT_REVIEWED</x:v>
      </x:c>
      <x:c r="AG69" s="38" t="str">
        <x:v>NOT_REVIEWED</x:v>
      </x:c>
      <x:c r="AH69" s="41" t="str"/>
      <x:c r="AI69" s="41" t="str"/>
      <x:c r="AJ69" s="41" t="str"/>
      <x:c r="AK69" s="41" t="str"/>
      <x:c r="AL69" s="41" t="str"/>
    </x:row>
    <x:row r="70" ht="144" hidden="0" customHeight="1">
      <x:c r="A70" s="38" t="str">
        <x:v>69</x:v>
      </x:c>
      <x:c r="B70" s="38" t="str">
        <x:v>Овощи</x:v>
      </x:c>
      <x:c r="C70" s="41" t="str">
        <x:v>spinach_raw</x:v>
      </x:c>
      <x:c r="D70" s="41" t="str">
        <x:v>Шпинат (сырой)</x:v>
      </x:c>
      <x:c r="E70" s="41" t="str">
        <x:v>Vegetables</x:v>
      </x:c>
      <x:c r="F70" s="41" t="str">
        <x:v>raw</x:v>
      </x:c>
      <x:c r="G70" s="38" t="str">
        <x:v>MEDIUM</x:v>
      </x:c>
      <x:c r="H70" s="38" t="str">
        <x:v>0.63</x:v>
      </x:c>
      <x:c r="I70" s="38" t="str">
        <x:v>CONDITIONALLY_ACCEPTED</x:v>
      </x:c>
      <x:c r="J70" s="41" t="str">
        <x:v>BORROWED_PROXY</x:v>
      </x:c>
      <x:c r="K70" s="41" t="str">
        <x:v>LOGIC_PROXY:spinach_raw</x:v>
      </x:c>
      <x:c r="L70" s="41" t="str">
        <x:v>INTERNAL_LOGIC_PROXY_FROM_CURRENT_DB_KBJU_AND_FOOD_CLASS</x:v>
      </x:c>
      <x:c r="M70" s="41" t="str">
        <x:v>v5.3.68 product DB QA pass, 2026-07-08</x:v>
      </x:c>
      <x:c r="N70" s="41" t="str">
        <x:v>internal://nutrition-calculator/logic-proxy/v5.3.68/spinach_raw</x:v>
      </x:c>
      <x:c r="O70" s="41" t="str">
        <x:v>3</x:v>
      </x:c>
      <x:c r="P70" s="41" t="str">
        <x:v>added_sugar; vitamin_b12_mcg; vitamin_d_mcg</x:v>
      </x:c>
      <x:c r="Q70" s="41" t="str">
        <x:v>23.0</x:v>
      </x:c>
      <x:c r="R70" s="41" t="str">
        <x:v>2.9</x:v>
      </x:c>
      <x:c r="S70" s="41" t="str">
        <x:v>0.4</x:v>
      </x:c>
      <x:c r="T70" s="41" t="str">
        <x:v>3.6</x:v>
      </x:c>
      <x:c r="U70" s="41" t="str">
        <x:v>2.2</x:v>
      </x:c>
      <x:c r="V70" s="41" t="str">
        <x:v>79.0</x:v>
      </x:c>
      <x:c r="W70" s="41" t="str">
        <x:v>0.2007</x:v>
      </x:c>
      <x:c r="X70" s="41" t="str">
        <x:v>повседневный базовый продукт; предполагаемых нулей: 3; проверить корректность состояния продукта</x:v>
      </x:c>
      <x:c r="Y70" s="38" t="str">
        <x:v>NOT_REVIEWED</x:v>
      </x:c>
      <x:c r="Z70" s="38" t="str">
        <x:v>NOT_REVIEWED</x:v>
      </x:c>
      <x:c r="AA70" s="38" t="str">
        <x:v>NOT_REVIEWED</x:v>
      </x:c>
      <x:c r="AB70" s="38" t="str">
        <x:v>NOT_REVIEWED</x:v>
      </x:c>
      <x:c r="AC70" s="38" t="str">
        <x:v>NOT_REVIEWED</x:v>
      </x:c>
      <x:c r="AD70" s="38" t="str">
        <x:v>NOT_REVIEWED</x:v>
      </x:c>
      <x:c r="AE70" s="38" t="str">
        <x:v>NOT_REVIEWED</x:v>
      </x:c>
      <x:c r="AF70" s="38" t="str">
        <x:v>NOT_REVIEWED</x:v>
      </x:c>
      <x:c r="AG70" s="38" t="str">
        <x:v>NOT_REVIEWED</x:v>
      </x:c>
      <x:c r="AH70" s="41" t="str"/>
      <x:c r="AI70" s="41" t="str"/>
      <x:c r="AJ70" s="41" t="str"/>
      <x:c r="AK70" s="41" t="str"/>
      <x:c r="AL70" s="41" t="str"/>
    </x:row>
    <x:row r="71" ht="144" hidden="0" customHeight="1">
      <x:c r="A71" s="38" t="str">
        <x:v>70</x:v>
      </x:c>
      <x:c r="B71" s="38" t="str">
        <x:v>Овощи</x:v>
      </x:c>
      <x:c r="C71" s="41" t="str">
        <x:v>lettuce_leaf_green_raw</x:v>
      </x:c>
      <x:c r="D71" s="41" t="str">
        <x:v>Салат листовой зелёный (сырой)</x:v>
      </x:c>
      <x:c r="E71" s="41" t="str">
        <x:v>Vegetables</x:v>
      </x:c>
      <x:c r="F71" s="41" t="str">
        <x:v>raw</x:v>
      </x:c>
      <x:c r="G71" s="38" t="str">
        <x:v>MEDIUM</x:v>
      </x:c>
      <x:c r="H71" s="38" t="str">
        <x:v>0.63</x:v>
      </x:c>
      <x:c r="I71" s="38" t="str">
        <x:v>CONDITIONALLY_ACCEPTED</x:v>
      </x:c>
      <x:c r="J71" s="41" t="str">
        <x:v>BORROWED_PROXY</x:v>
      </x:c>
      <x:c r="K71" s="41" t="str">
        <x:v>LOGIC_PROXY:lettuce_leaf_green_raw</x:v>
      </x:c>
      <x:c r="L71" s="41" t="str">
        <x:v>INTERNAL_LOGIC_PROXY_FROM_CURRENT_DB_KBJU_AND_FOOD_CLASS</x:v>
      </x:c>
      <x:c r="M71" s="41" t="str">
        <x:v>v5.3.68 product DB QA pass, 2026-07-08</x:v>
      </x:c>
      <x:c r="N71" s="41" t="str">
        <x:v>internal://nutrition-calculator/logic-proxy/v5.3.68/lettuce_leaf_green_raw</x:v>
      </x:c>
      <x:c r="O71" s="41" t="str">
        <x:v>3</x:v>
      </x:c>
      <x:c r="P71" s="41" t="str">
        <x:v>added_sugar; vitamin_b12_mcg; vitamin_d_mcg</x:v>
      </x:c>
      <x:c r="Q71" s="41" t="str">
        <x:v>15.0</x:v>
      </x:c>
      <x:c r="R71" s="41" t="str">
        <x:v>1.4</x:v>
      </x:c>
      <x:c r="S71" s="41" t="str">
        <x:v>0.2</x:v>
      </x:c>
      <x:c r="T71" s="41" t="str">
        <x:v>2.9</x:v>
      </x:c>
      <x:c r="U71" s="41" t="str">
        <x:v>1.3</x:v>
      </x:c>
      <x:c r="V71" s="41" t="str">
        <x:v>28.0</x:v>
      </x:c>
      <x:c r="W71" s="41" t="str">
        <x:v>0.0711</x:v>
      </x:c>
      <x:c r="X71" s="41" t="str">
        <x:v>повседневный базовый продукт; предполагаемых нулей: 3; проверить корректность состояния продукта</x:v>
      </x:c>
      <x:c r="Y71" s="38" t="str">
        <x:v>NOT_REVIEWED</x:v>
      </x:c>
      <x:c r="Z71" s="38" t="str">
        <x:v>NOT_REVIEWED</x:v>
      </x:c>
      <x:c r="AA71" s="38" t="str">
        <x:v>NOT_REVIEWED</x:v>
      </x:c>
      <x:c r="AB71" s="38" t="str">
        <x:v>NOT_REVIEWED</x:v>
      </x:c>
      <x:c r="AC71" s="38" t="str">
        <x:v>NOT_REVIEWED</x:v>
      </x:c>
      <x:c r="AD71" s="38" t="str">
        <x:v>NOT_REVIEWED</x:v>
      </x:c>
      <x:c r="AE71" s="38" t="str">
        <x:v>NOT_REVIEWED</x:v>
      </x:c>
      <x:c r="AF71" s="38" t="str">
        <x:v>NOT_REVIEWED</x:v>
      </x:c>
      <x:c r="AG71" s="38" t="str">
        <x:v>NOT_REVIEWED</x:v>
      </x:c>
      <x:c r="AH71" s="41" t="str"/>
      <x:c r="AI71" s="41" t="str"/>
      <x:c r="AJ71" s="41" t="str"/>
      <x:c r="AK71" s="41" t="str"/>
      <x:c r="AL71" s="41" t="str"/>
    </x:row>
    <x:row r="72" ht="108" hidden="0" customHeight="1">
      <x:c r="A72" s="38" t="str">
        <x:v>71</x:v>
      </x:c>
      <x:c r="B72" s="38" t="str">
        <x:v>Овощи</x:v>
      </x:c>
      <x:c r="C72" s="41" t="str">
        <x:v>sweet_corn_kernels_boiled</x:v>
      </x:c>
      <x:c r="D72" s="41" t="str">
        <x:v>Кукуруза сахарная (зёрна, отварная)</x:v>
      </x:c>
      <x:c r="E72" s="41" t="str">
        <x:v>Vegetables</x:v>
      </x:c>
      <x:c r="F72" s="41" t="str">
        <x:v>boiled</x:v>
      </x:c>
      <x:c r="G72" s="38" t="str">
        <x:v>HIGH</x:v>
      </x:c>
      <x:c r="H72" s="38" t="str">
        <x:v>0.98</x:v>
      </x:c>
      <x:c r="I72" s="38" t="str">
        <x:v>VERIFIED</x:v>
      </x:c>
      <x:c r="J72" s="41" t="str">
        <x:v>PRIMARY_DATASET</x:v>
      </x:c>
      <x:c r="K72" s="41" t="str">
        <x:v>USDA_FDC_SR:169348</x:v>
      </x:c>
      <x:c r="L72" s="41" t="str">
        <x:v>USDA_FDC_SR_LEGACY_2018</x:v>
      </x:c>
      <x:c r="M72" s="41" t="str">
        <x:v>SR Legacy 04/2018</x:v>
      </x:c>
      <x:c r="N72" s="41" t="str">
        <x:v>https://fdc.nal.usda.gov/fdc-app.html#/food-details/169348/nutrients</x:v>
      </x:c>
      <x:c r="O72" s="41" t="str">
        <x:v>0</x:v>
      </x:c>
      <x:c r="P72" s="41" t="str"/>
      <x:c r="Q72" s="41" t="str">
        <x:v>79.0</x:v>
      </x:c>
      <x:c r="R72" s="41" t="str">
        <x:v>2.55</x:v>
      </x:c>
      <x:c r="S72" s="41" t="str">
        <x:v>0.67</x:v>
      </x:c>
      <x:c r="T72" s="41" t="str">
        <x:v>18.7</x:v>
      </x:c>
      <x:c r="U72" s="41" t="str">
        <x:v>2.4</x:v>
      </x:c>
      <x:c r="V72" s="41" t="str">
        <x:v>245.0</x:v>
      </x:c>
      <x:c r="W72" s="41" t="str">
        <x:v>0.6223</x:v>
      </x:c>
      <x:c r="X72" s="41" t="str">
        <x:v>повседневный базовый продукт; проверить корректность состояния продукта</x:v>
      </x:c>
      <x:c r="Y72" s="38" t="str">
        <x:v>NOT_REVIEWED</x:v>
      </x:c>
      <x:c r="Z72" s="38" t="str">
        <x:v>NOT_REVIEWED</x:v>
      </x:c>
      <x:c r="AA72" s="38" t="str">
        <x:v>NOT_REVIEWED</x:v>
      </x:c>
      <x:c r="AB72" s="38" t="str">
        <x:v>NOT_REVIEWED</x:v>
      </x:c>
      <x:c r="AC72" s="38" t="str">
        <x:v>NOT_REVIEWED</x:v>
      </x:c>
      <x:c r="AD72" s="38" t="str">
        <x:v>NOT_REVIEWED</x:v>
      </x:c>
      <x:c r="AE72" s="38" t="str">
        <x:v>NOT_REVIEWED</x:v>
      </x:c>
      <x:c r="AF72" s="38" t="str">
        <x:v>NOT_REVIEWED</x:v>
      </x:c>
      <x:c r="AG72" s="38" t="str">
        <x:v>NOT_REVIEWED</x:v>
      </x:c>
      <x:c r="AH72" s="41" t="str"/>
      <x:c r="AI72" s="41" t="str"/>
      <x:c r="AJ72" s="41" t="str"/>
      <x:c r="AK72" s="41" t="str"/>
      <x:c r="AL72" s="41" t="str"/>
    </x:row>
    <x:row r="73" ht="144" hidden="0" customHeight="1">
      <x:c r="A73" s="38" t="str">
        <x:v>72</x:v>
      </x:c>
      <x:c r="B73" s="38" t="str">
        <x:v>Овощи</x:v>
      </x:c>
      <x:c r="C73" s="41" t="str">
        <x:v>pumpkin_baked</x:v>
      </x:c>
      <x:c r="D73" s="41" t="str">
        <x:v>Тыква отварная, без соли</x:v>
      </x:c>
      <x:c r="E73" s="41" t="str">
        <x:v>Vegetables</x:v>
      </x:c>
      <x:c r="F73" s="41" t="str">
        <x:v>boiled</x:v>
      </x:c>
      <x:c r="G73" s="38" t="str">
        <x:v>MEDIUM</x:v>
      </x:c>
      <x:c r="H73" s="38" t="str">
        <x:v>0.73</x:v>
      </x:c>
      <x:c r="I73" s="38" t="str">
        <x:v>CONDITIONALLY_ACCEPTED</x:v>
      </x:c>
      <x:c r="J73" s="41" t="str">
        <x:v>MIXED_SOURCE</x:v>
      </x:c>
      <x:c r="K73" s="41" t="str">
        <x:v>USDA_FDC_SR:168449</x:v>
      </x:c>
      <x:c r="L73" s="41" t="str">
        <x:v>USDA_FDC_SR_LEGACY_2018</x:v>
      </x:c>
      <x:c r="M73" s="41" t="str">
        <x:v>SR Legacy 04/2018</x:v>
      </x:c>
      <x:c r="N73" s="41" t="str">
        <x:v>https://fdc.nal.usda.gov/fdc-app.html#/food-details/168449/nutrients</x:v>
      </x:c>
      <x:c r="O73" s="41" t="str">
        <x:v>3</x:v>
      </x:c>
      <x:c r="P73" s="41" t="str">
        <x:v>added_sugar; vitamin_b12_mcg; vitamin_d_mcg</x:v>
      </x:c>
      <x:c r="Q73" s="41" t="str">
        <x:v>20.0</x:v>
      </x:c>
      <x:c r="R73" s="41" t="str">
        <x:v>0.72</x:v>
      </x:c>
      <x:c r="S73" s="41" t="str">
        <x:v>0.07</x:v>
      </x:c>
      <x:c r="T73" s="41" t="str">
        <x:v>4.9</x:v>
      </x:c>
      <x:c r="U73" s="41" t="str">
        <x:v>1.1</x:v>
      </x:c>
      <x:c r="V73" s="41" t="str">
        <x:v>1.0</x:v>
      </x:c>
      <x:c r="W73" s="41" t="str">
        <x:v>0.0025</x:v>
      </x:c>
      <x:c r="X73" s="41" t="str">
        <x:v>повседневный базовый продукт; предполагаемых нулей: 3; проверить корректность состояния продукта</x:v>
      </x:c>
      <x:c r="Y73" s="38" t="str">
        <x:v>NOT_REVIEWED</x:v>
      </x:c>
      <x:c r="Z73" s="38" t="str">
        <x:v>NOT_REVIEWED</x:v>
      </x:c>
      <x:c r="AA73" s="38" t="str">
        <x:v>NOT_REVIEWED</x:v>
      </x:c>
      <x:c r="AB73" s="38" t="str">
        <x:v>NOT_REVIEWED</x:v>
      </x:c>
      <x:c r="AC73" s="38" t="str">
        <x:v>NOT_REVIEWED</x:v>
      </x:c>
      <x:c r="AD73" s="38" t="str">
        <x:v>NOT_REVIEWED</x:v>
      </x:c>
      <x:c r="AE73" s="38" t="str">
        <x:v>NOT_REVIEWED</x:v>
      </x:c>
      <x:c r="AF73" s="38" t="str">
        <x:v>NOT_REVIEWED</x:v>
      </x:c>
      <x:c r="AG73" s="38" t="str">
        <x:v>NOT_REVIEWED</x:v>
      </x:c>
      <x:c r="AH73" s="41" t="str"/>
      <x:c r="AI73" s="41" t="str"/>
      <x:c r="AJ73" s="41" t="str"/>
      <x:c r="AK73" s="41" t="str"/>
      <x:c r="AL73" s="41" t="str"/>
    </x:row>
    <x:row r="74" ht="108" hidden="0" customHeight="1">
      <x:c r="A74" s="38" t="str">
        <x:v>73</x:v>
      </x:c>
      <x:c r="B74" s="38" t="str">
        <x:v>Фрукты и ягоды</x:v>
      </x:c>
      <x:c r="C74" s="41" t="str">
        <x:v>apple</x:v>
      </x:c>
      <x:c r="D74" s="41" t="str">
        <x:v>Яблоко (сырое)</x:v>
      </x:c>
      <x:c r="E74" s="41" t="str">
        <x:v>Fruits</x:v>
      </x:c>
      <x:c r="F74" s="41" t="str">
        <x:v>prepared</x:v>
      </x:c>
      <x:c r="G74" s="38" t="str">
        <x:v>HIGH</x:v>
      </x:c>
      <x:c r="H74" s="38" t="str">
        <x:v>0.98</x:v>
      </x:c>
      <x:c r="I74" s="38" t="str">
        <x:v>VERIFIED</x:v>
      </x:c>
      <x:c r="J74" s="41" t="str">
        <x:v>PRIMARY_DATASET</x:v>
      </x:c>
      <x:c r="K74" s="41" t="str">
        <x:v>USDA_FDC_SR:171688</x:v>
      </x:c>
      <x:c r="L74" s="41" t="str">
        <x:v>USDA Standard Release via MyFoodData/FDC</x:v>
      </x:c>
      <x:c r="M74" s="41" t="str">
        <x:v>v5.3.68 metadata completion, 2026-07-08</x:v>
      </x:c>
      <x:c r="N74" s="41" t="str">
        <x:v>https://tools.myfooddata.com/nutrition-facts/171688/wt1</x:v>
      </x:c>
      <x:c r="O74" s="41" t="str">
        <x:v>0</x:v>
      </x:c>
      <x:c r="P74" s="41" t="str"/>
      <x:c r="Q74" s="41" t="str">
        <x:v>52.0</x:v>
      </x:c>
      <x:c r="R74" s="41" t="str">
        <x:v>0.264</x:v>
      </x:c>
      <x:c r="S74" s="41" t="str">
        <x:v>0.168</x:v>
      </x:c>
      <x:c r="T74" s="41" t="str">
        <x:v>13.84</x:v>
      </x:c>
      <x:c r="U74" s="41" t="str">
        <x:v>2.4</x:v>
      </x:c>
      <x:c r="V74" s="41" t="str">
        <x:v>1.04</x:v>
      </x:c>
      <x:c r="W74" s="41" t="str">
        <x:v>0.0026</x:v>
      </x:c>
      <x:c r="X74" s="41" t="str">
        <x:v>повседневный базовый продукт; проверить корректность состояния продукта</x:v>
      </x:c>
      <x:c r="Y74" s="38" t="str">
        <x:v>NOT_REVIEWED</x:v>
      </x:c>
      <x:c r="Z74" s="38" t="str">
        <x:v>NOT_REVIEWED</x:v>
      </x:c>
      <x:c r="AA74" s="38" t="str">
        <x:v>NOT_REVIEWED</x:v>
      </x:c>
      <x:c r="AB74" s="38" t="str">
        <x:v>NOT_REVIEWED</x:v>
      </x:c>
      <x:c r="AC74" s="38" t="str">
        <x:v>NOT_REVIEWED</x:v>
      </x:c>
      <x:c r="AD74" s="38" t="str">
        <x:v>NOT_REVIEWED</x:v>
      </x:c>
      <x:c r="AE74" s="38" t="str">
        <x:v>NOT_REVIEWED</x:v>
      </x:c>
      <x:c r="AF74" s="38" t="str">
        <x:v>NOT_REVIEWED</x:v>
      </x:c>
      <x:c r="AG74" s="38" t="str">
        <x:v>NOT_REVIEWED</x:v>
      </x:c>
      <x:c r="AH74" s="41" t="str"/>
      <x:c r="AI74" s="41" t="str"/>
      <x:c r="AJ74" s="41" t="str"/>
      <x:c r="AK74" s="41" t="str"/>
      <x:c r="AL74" s="41" t="str"/>
    </x:row>
    <x:row r="75" ht="108" hidden="0" customHeight="1">
      <x:c r="A75" s="38" t="str">
        <x:v>74</x:v>
      </x:c>
      <x:c r="B75" s="38" t="str">
        <x:v>Фрукты и ягоды</x:v>
      </x:c>
      <x:c r="C75" s="41" t="str">
        <x:v>banana</x:v>
      </x:c>
      <x:c r="D75" s="41" t="str">
        <x:v>Банан (сырой)</x:v>
      </x:c>
      <x:c r="E75" s="41" t="str">
        <x:v>Fruits</x:v>
      </x:c>
      <x:c r="F75" s="41" t="str">
        <x:v>prepared</x:v>
      </x:c>
      <x:c r="G75" s="38" t="str">
        <x:v>HIGH</x:v>
      </x:c>
      <x:c r="H75" s="38" t="str">
        <x:v>0.98</x:v>
      </x:c>
      <x:c r="I75" s="38" t="str">
        <x:v>VERIFIED</x:v>
      </x:c>
      <x:c r="J75" s="41" t="str">
        <x:v>PRIMARY_DATASET</x:v>
      </x:c>
      <x:c r="K75" s="41" t="str">
        <x:v>USDA_FDC_SR:173944</x:v>
      </x:c>
      <x:c r="L75" s="41" t="str">
        <x:v>USDA Standard Release via MyFoodData/FDC</x:v>
      </x:c>
      <x:c r="M75" s="41" t="str">
        <x:v>v5.3.68 metadata completion, 2026-07-08</x:v>
      </x:c>
      <x:c r="N75" s="41" t="str">
        <x:v>https://tools.myfooddata.com/nutrition-facts/173944/wt2</x:v>
      </x:c>
      <x:c r="O75" s="41" t="str">
        <x:v>0</x:v>
      </x:c>
      <x:c r="P75" s="41" t="str"/>
      <x:c r="Q75" s="41" t="str">
        <x:v>89.0</x:v>
      </x:c>
      <x:c r="R75" s="41" t="str">
        <x:v>1.09</x:v>
      </x:c>
      <x:c r="S75" s="41" t="str">
        <x:v>0.33</x:v>
      </x:c>
      <x:c r="T75" s="41" t="str">
        <x:v>22.84</x:v>
      </x:c>
      <x:c r="U75" s="41" t="str">
        <x:v>2.6</x:v>
      </x:c>
      <x:c r="V75" s="41" t="str">
        <x:v>1.0</x:v>
      </x:c>
      <x:c r="W75" s="41" t="str">
        <x:v>0.0025</x:v>
      </x:c>
      <x:c r="X75" s="41" t="str">
        <x:v>повседневный базовый продукт; проверить корректность состояния продукта</x:v>
      </x:c>
      <x:c r="Y75" s="38" t="str">
        <x:v>NOT_REVIEWED</x:v>
      </x:c>
      <x:c r="Z75" s="38" t="str">
        <x:v>NOT_REVIEWED</x:v>
      </x:c>
      <x:c r="AA75" s="38" t="str">
        <x:v>NOT_REVIEWED</x:v>
      </x:c>
      <x:c r="AB75" s="38" t="str">
        <x:v>NOT_REVIEWED</x:v>
      </x:c>
      <x:c r="AC75" s="38" t="str">
        <x:v>NOT_REVIEWED</x:v>
      </x:c>
      <x:c r="AD75" s="38" t="str">
        <x:v>NOT_REVIEWED</x:v>
      </x:c>
      <x:c r="AE75" s="38" t="str">
        <x:v>NOT_REVIEWED</x:v>
      </x:c>
      <x:c r="AF75" s="38" t="str">
        <x:v>NOT_REVIEWED</x:v>
      </x:c>
      <x:c r="AG75" s="38" t="str">
        <x:v>NOT_REVIEWED</x:v>
      </x:c>
      <x:c r="AH75" s="41" t="str"/>
      <x:c r="AI75" s="41" t="str"/>
      <x:c r="AJ75" s="41" t="str"/>
      <x:c r="AK75" s="41" t="str"/>
      <x:c r="AL75" s="41" t="str"/>
    </x:row>
    <x:row r="76" ht="108" hidden="0" customHeight="1">
      <x:c r="A76" s="38" t="str">
        <x:v>75</x:v>
      </x:c>
      <x:c r="B76" s="38" t="str">
        <x:v>Фрукты и ягоды</x:v>
      </x:c>
      <x:c r="C76" s="41" t="str">
        <x:v>orange</x:v>
      </x:c>
      <x:c r="D76" s="41" t="str">
        <x:v>Апельсин (сырой)</x:v>
      </x:c>
      <x:c r="E76" s="41" t="str">
        <x:v>Fruits</x:v>
      </x:c>
      <x:c r="F76" s="41" t="str">
        <x:v>prepared</x:v>
      </x:c>
      <x:c r="G76" s="38" t="str">
        <x:v>HIGH</x:v>
      </x:c>
      <x:c r="H76" s="38" t="str">
        <x:v>0.98</x:v>
      </x:c>
      <x:c r="I76" s="38" t="str">
        <x:v>VERIFIED</x:v>
      </x:c>
      <x:c r="J76" s="41" t="str">
        <x:v>PRIMARY_DATASET</x:v>
      </x:c>
      <x:c r="K76" s="41" t="str">
        <x:v>USDA_FDC_SR:169097</x:v>
      </x:c>
      <x:c r="L76" s="41" t="str">
        <x:v>USDA Standard Release via MyFoodData/FDC</x:v>
      </x:c>
      <x:c r="M76" s="41" t="str">
        <x:v>v5.3.68 metadata completion, 2026-07-08</x:v>
      </x:c>
      <x:c r="N76" s="41" t="str">
        <x:v>https://tools.myfooddata.com/nutrition-facts/169097/wt1</x:v>
      </x:c>
      <x:c r="O76" s="41" t="str">
        <x:v>0</x:v>
      </x:c>
      <x:c r="P76" s="41" t="str"/>
      <x:c r="Q76" s="41" t="str">
        <x:v>47.0</x:v>
      </x:c>
      <x:c r="R76" s="41" t="str">
        <x:v>0.94</x:v>
      </x:c>
      <x:c r="S76" s="41" t="str">
        <x:v>0.12</x:v>
      </x:c>
      <x:c r="T76" s="41" t="str">
        <x:v>11.75</x:v>
      </x:c>
      <x:c r="U76" s="41" t="str">
        <x:v>2.4</x:v>
      </x:c>
      <x:c r="V76" s="41" t="str">
        <x:v>0</x:v>
      </x:c>
      <x:c r="W76" s="41" t="str">
        <x:v>0</x:v>
      </x:c>
      <x:c r="X76" s="41" t="str">
        <x:v>повседневный базовый продукт; проверить корректность состояния продукта</x:v>
      </x:c>
      <x:c r="Y76" s="38" t="str">
        <x:v>NOT_REVIEWED</x:v>
      </x:c>
      <x:c r="Z76" s="38" t="str">
        <x:v>NOT_REVIEWED</x:v>
      </x:c>
      <x:c r="AA76" s="38" t="str">
        <x:v>NOT_REVIEWED</x:v>
      </x:c>
      <x:c r="AB76" s="38" t="str">
        <x:v>NOT_REVIEWED</x:v>
      </x:c>
      <x:c r="AC76" s="38" t="str">
        <x:v>NOT_REVIEWED</x:v>
      </x:c>
      <x:c r="AD76" s="38" t="str">
        <x:v>NOT_REVIEWED</x:v>
      </x:c>
      <x:c r="AE76" s="38" t="str">
        <x:v>NOT_REVIEWED</x:v>
      </x:c>
      <x:c r="AF76" s="38" t="str">
        <x:v>NOT_REVIEWED</x:v>
      </x:c>
      <x:c r="AG76" s="38" t="str">
        <x:v>NOT_REVIEWED</x:v>
      </x:c>
      <x:c r="AH76" s="41" t="str"/>
      <x:c r="AI76" s="41" t="str"/>
      <x:c r="AJ76" s="41" t="str"/>
      <x:c r="AK76" s="41" t="str"/>
      <x:c r="AL76" s="41" t="str"/>
    </x:row>
    <x:row r="77" ht="144" hidden="0" customHeight="1">
      <x:c r="A77" s="38" t="str">
        <x:v>76</x:v>
      </x:c>
      <x:c r="B77" s="38" t="str">
        <x:v>Фрукты и ягоды</x:v>
      </x:c>
      <x:c r="C77" s="41" t="str">
        <x:v>tangerine</x:v>
      </x:c>
      <x:c r="D77" s="41" t="str">
        <x:v>Мандарин (сырой)</x:v>
      </x:c>
      <x:c r="E77" s="41" t="str">
        <x:v>Fruits</x:v>
      </x:c>
      <x:c r="F77" s="41" t="str">
        <x:v>prepared</x:v>
      </x:c>
      <x:c r="G77" s="38" t="str">
        <x:v>MEDIUM</x:v>
      </x:c>
      <x:c r="H77" s="38" t="str">
        <x:v>0.63</x:v>
      </x:c>
      <x:c r="I77" s="38" t="str">
        <x:v>CONDITIONALLY_ACCEPTED</x:v>
      </x:c>
      <x:c r="J77" s="41" t="str">
        <x:v>BORROWED_PROXY</x:v>
      </x:c>
      <x:c r="K77" s="41" t="str">
        <x:v>LOGIC_PROXY:tangerine</x:v>
      </x:c>
      <x:c r="L77" s="41" t="str">
        <x:v>INTERNAL_LOGIC_PROXY_FROM_CURRENT_DB_KBJU_AND_FOOD_CLASS</x:v>
      </x:c>
      <x:c r="M77" s="41" t="str">
        <x:v>v5.3.68 product DB QA pass, 2026-07-08</x:v>
      </x:c>
      <x:c r="N77" s="41" t="str">
        <x:v>internal://nutrition-calculator/logic-proxy/v5.3.68/tangerine</x:v>
      </x:c>
      <x:c r="O77" s="41" t="str">
        <x:v>4</x:v>
      </x:c>
      <x:c r="P77" s="41" t="str">
        <x:v>added_sugar; vitamin_b12_mcg; vitamin_d_mcg; vitamin_k_mcg</x:v>
      </x:c>
      <x:c r="Q77" s="41" t="str">
        <x:v>53.0</x:v>
      </x:c>
      <x:c r="R77" s="41" t="str">
        <x:v>0.81</x:v>
      </x:c>
      <x:c r="S77" s="41" t="str">
        <x:v>0.31</x:v>
      </x:c>
      <x:c r="T77" s="41" t="str">
        <x:v>13.34</x:v>
      </x:c>
      <x:c r="U77" s="41" t="str">
        <x:v>1.8</x:v>
      </x:c>
      <x:c r="V77" s="41" t="str">
        <x:v>2.0</x:v>
      </x:c>
      <x:c r="W77" s="41" t="str">
        <x:v>0.0051</x:v>
      </x:c>
      <x:c r="X77" s="41" t="str">
        <x:v>повседневный базовый продукт; предполагаемых нулей: 4; проверить корректность состояния продукта</x:v>
      </x:c>
      <x:c r="Y77" s="38" t="str">
        <x:v>NOT_REVIEWED</x:v>
      </x:c>
      <x:c r="Z77" s="38" t="str">
        <x:v>NOT_REVIEWED</x:v>
      </x:c>
      <x:c r="AA77" s="38" t="str">
        <x:v>NOT_REVIEWED</x:v>
      </x:c>
      <x:c r="AB77" s="38" t="str">
        <x:v>NOT_REVIEWED</x:v>
      </x:c>
      <x:c r="AC77" s="38" t="str">
        <x:v>NOT_REVIEWED</x:v>
      </x:c>
      <x:c r="AD77" s="38" t="str">
        <x:v>NOT_REVIEWED</x:v>
      </x:c>
      <x:c r="AE77" s="38" t="str">
        <x:v>NOT_REVIEWED</x:v>
      </x:c>
      <x:c r="AF77" s="38" t="str">
        <x:v>NOT_REVIEWED</x:v>
      </x:c>
      <x:c r="AG77" s="38" t="str">
        <x:v>NOT_REVIEWED</x:v>
      </x:c>
      <x:c r="AH77" s="41" t="str"/>
      <x:c r="AI77" s="41" t="str"/>
      <x:c r="AJ77" s="41" t="str"/>
      <x:c r="AK77" s="41" t="str"/>
      <x:c r="AL77" s="41" t="str"/>
    </x:row>
    <x:row r="78" ht="144" hidden="0" customHeight="1">
      <x:c r="A78" s="38" t="str">
        <x:v>77</x:v>
      </x:c>
      <x:c r="B78" s="38" t="str">
        <x:v>Фрукты и ягоды</x:v>
      </x:c>
      <x:c r="C78" s="41" t="str">
        <x:v>pear</x:v>
      </x:c>
      <x:c r="D78" s="41" t="str">
        <x:v>Груша (сырая)</x:v>
      </x:c>
      <x:c r="E78" s="41" t="str">
        <x:v>Fruits</x:v>
      </x:c>
      <x:c r="F78" s="41" t="str">
        <x:v>prepared</x:v>
      </x:c>
      <x:c r="G78" s="38" t="str">
        <x:v>MEDIUM</x:v>
      </x:c>
      <x:c r="H78" s="38" t="str">
        <x:v>0.63</x:v>
      </x:c>
      <x:c r="I78" s="38" t="str">
        <x:v>CONDITIONALLY_ACCEPTED</x:v>
      </x:c>
      <x:c r="J78" s="41" t="str">
        <x:v>BORROWED_PROXY</x:v>
      </x:c>
      <x:c r="K78" s="41" t="str">
        <x:v>LOGIC_PROXY:pear</x:v>
      </x:c>
      <x:c r="L78" s="41" t="str">
        <x:v>INTERNAL_LOGIC_PROXY_FROM_CURRENT_DB_KBJU_AND_FOOD_CLASS</x:v>
      </x:c>
      <x:c r="M78" s="41" t="str">
        <x:v>v5.3.68 product DB QA pass, 2026-07-08</x:v>
      </x:c>
      <x:c r="N78" s="41" t="str">
        <x:v>internal://nutrition-calculator/logic-proxy/v5.3.68/pear</x:v>
      </x:c>
      <x:c r="O78" s="41" t="str">
        <x:v>3</x:v>
      </x:c>
      <x:c r="P78" s="41" t="str">
        <x:v>added_sugar; vitamin_b12_mcg; vitamin_d_mcg</x:v>
      </x:c>
      <x:c r="Q78" s="41" t="str">
        <x:v>57.0</x:v>
      </x:c>
      <x:c r="R78" s="41" t="str">
        <x:v>0.36</x:v>
      </x:c>
      <x:c r="S78" s="41" t="str">
        <x:v>0.14</x:v>
      </x:c>
      <x:c r="T78" s="41" t="str">
        <x:v>15.23</x:v>
      </x:c>
      <x:c r="U78" s="41" t="str">
        <x:v>3.1</x:v>
      </x:c>
      <x:c r="V78" s="41" t="str">
        <x:v>1.0</x:v>
      </x:c>
      <x:c r="W78" s="41" t="str">
        <x:v>0.0025</x:v>
      </x:c>
      <x:c r="X78" s="41" t="str">
        <x:v>повседневный базовый продукт; предполагаемых нулей: 3; проверить корректность состояния продукта</x:v>
      </x:c>
      <x:c r="Y78" s="38" t="str">
        <x:v>NOT_REVIEWED</x:v>
      </x:c>
      <x:c r="Z78" s="38" t="str">
        <x:v>NOT_REVIEWED</x:v>
      </x:c>
      <x:c r="AA78" s="38" t="str">
        <x:v>NOT_REVIEWED</x:v>
      </x:c>
      <x:c r="AB78" s="38" t="str">
        <x:v>NOT_REVIEWED</x:v>
      </x:c>
      <x:c r="AC78" s="38" t="str">
        <x:v>NOT_REVIEWED</x:v>
      </x:c>
      <x:c r="AD78" s="38" t="str">
        <x:v>NOT_REVIEWED</x:v>
      </x:c>
      <x:c r="AE78" s="38" t="str">
        <x:v>NOT_REVIEWED</x:v>
      </x:c>
      <x:c r="AF78" s="38" t="str">
        <x:v>NOT_REVIEWED</x:v>
      </x:c>
      <x:c r="AG78" s="38" t="str">
        <x:v>NOT_REVIEWED</x:v>
      </x:c>
      <x:c r="AH78" s="41" t="str"/>
      <x:c r="AI78" s="41" t="str"/>
      <x:c r="AJ78" s="41" t="str"/>
      <x:c r="AK78" s="41" t="str"/>
      <x:c r="AL78" s="41" t="str"/>
    </x:row>
    <x:row r="79" ht="144" hidden="0" customHeight="1">
      <x:c r="A79" s="38" t="str">
        <x:v>78</x:v>
      </x:c>
      <x:c r="B79" s="38" t="str">
        <x:v>Фрукты и ягоды</x:v>
      </x:c>
      <x:c r="C79" s="41" t="str">
        <x:v>grapes</x:v>
      </x:c>
      <x:c r="D79" s="41" t="str">
        <x:v>Виноград (сырой)</x:v>
      </x:c>
      <x:c r="E79" s="41" t="str">
        <x:v>Fruits</x:v>
      </x:c>
      <x:c r="F79" s="41" t="str">
        <x:v>prepared</x:v>
      </x:c>
      <x:c r="G79" s="38" t="str">
        <x:v>MEDIUM</x:v>
      </x:c>
      <x:c r="H79" s="38" t="str">
        <x:v>0.63</x:v>
      </x:c>
      <x:c r="I79" s="38" t="str">
        <x:v>CONDITIONALLY_ACCEPTED</x:v>
      </x:c>
      <x:c r="J79" s="41" t="str">
        <x:v>BORROWED_PROXY</x:v>
      </x:c>
      <x:c r="K79" s="41" t="str">
        <x:v>LOGIC_PROXY:grapes</x:v>
      </x:c>
      <x:c r="L79" s="41" t="str">
        <x:v>INTERNAL_LOGIC_PROXY_FROM_CURRENT_DB_KBJU_AND_FOOD_CLASS</x:v>
      </x:c>
      <x:c r="M79" s="41" t="str">
        <x:v>v5.3.68 product DB QA pass, 2026-07-08</x:v>
      </x:c>
      <x:c r="N79" s="41" t="str">
        <x:v>internal://nutrition-calculator/logic-proxy/v5.3.68/grapes</x:v>
      </x:c>
      <x:c r="O79" s="41" t="str">
        <x:v>3</x:v>
      </x:c>
      <x:c r="P79" s="41" t="str">
        <x:v>added_sugar; vitamin_b12_mcg; vitamin_d_mcg</x:v>
      </x:c>
      <x:c r="Q79" s="41" t="str">
        <x:v>70.0</x:v>
      </x:c>
      <x:c r="R79" s="41" t="str">
        <x:v>0.9144</x:v>
      </x:c>
      <x:c r="S79" s="41" t="str">
        <x:v>0.1638</x:v>
      </x:c>
      <x:c r="T79" s="41" t="str">
        <x:v>20.1968</x:v>
      </x:c>
      <x:c r="U79" s="41" t="str">
        <x:v>0.9</x:v>
      </x:c>
      <x:c r="V79" s="41" t="str">
        <x:v>6.999</x:v>
      </x:c>
      <x:c r="W79" s="41" t="str">
        <x:v>0.0178</x:v>
      </x:c>
      <x:c r="X79" s="41" t="str">
        <x:v>повседневный базовый продукт; предполагаемых нулей: 3; проверить корректность состояния продукта</x:v>
      </x:c>
      <x:c r="Y79" s="38" t="str">
        <x:v>NOT_REVIEWED</x:v>
      </x:c>
      <x:c r="Z79" s="38" t="str">
        <x:v>NOT_REVIEWED</x:v>
      </x:c>
      <x:c r="AA79" s="38" t="str">
        <x:v>NOT_REVIEWED</x:v>
      </x:c>
      <x:c r="AB79" s="38" t="str">
        <x:v>NOT_REVIEWED</x:v>
      </x:c>
      <x:c r="AC79" s="38" t="str">
        <x:v>NOT_REVIEWED</x:v>
      </x:c>
      <x:c r="AD79" s="38" t="str">
        <x:v>NOT_REVIEWED</x:v>
      </x:c>
      <x:c r="AE79" s="38" t="str">
        <x:v>NOT_REVIEWED</x:v>
      </x:c>
      <x:c r="AF79" s="38" t="str">
        <x:v>NOT_REVIEWED</x:v>
      </x:c>
      <x:c r="AG79" s="38" t="str">
        <x:v>NOT_REVIEWED</x:v>
      </x:c>
      <x:c r="AH79" s="41" t="str"/>
      <x:c r="AI79" s="41" t="str"/>
      <x:c r="AJ79" s="41" t="str"/>
      <x:c r="AK79" s="41" t="str"/>
      <x:c r="AL79" s="41" t="str"/>
    </x:row>
    <x:row r="80" ht="144" hidden="0" customHeight="1">
      <x:c r="A80" s="38" t="str">
        <x:v>79</x:v>
      </x:c>
      <x:c r="B80" s="38" t="str">
        <x:v>Фрукты и ягоды</x:v>
      </x:c>
      <x:c r="C80" s="41" t="str">
        <x:v>strawberry</x:v>
      </x:c>
      <x:c r="D80" s="41" t="str">
        <x:v>Клубника (сырой)</x:v>
      </x:c>
      <x:c r="E80" s="41" t="str">
        <x:v>Fruits</x:v>
      </x:c>
      <x:c r="F80" s="41" t="str">
        <x:v>prepared</x:v>
      </x:c>
      <x:c r="G80" s="38" t="str">
        <x:v>MEDIUM</x:v>
      </x:c>
      <x:c r="H80" s="38" t="str">
        <x:v>0.63</x:v>
      </x:c>
      <x:c r="I80" s="38" t="str">
        <x:v>CONDITIONALLY_ACCEPTED</x:v>
      </x:c>
      <x:c r="J80" s="41" t="str">
        <x:v>BORROWED_PROXY</x:v>
      </x:c>
      <x:c r="K80" s="41" t="str">
        <x:v>LOGIC_PROXY:strawberry</x:v>
      </x:c>
      <x:c r="L80" s="41" t="str">
        <x:v>INTERNAL_LOGIC_PROXY_FROM_CURRENT_DB_KBJU_AND_FOOD_CLASS</x:v>
      </x:c>
      <x:c r="M80" s="41" t="str">
        <x:v>v5.3.68 product DB QA pass, 2026-07-08</x:v>
      </x:c>
      <x:c r="N80" s="41" t="str">
        <x:v>internal://nutrition-calculator/logic-proxy/v5.3.68/strawberry</x:v>
      </x:c>
      <x:c r="O80" s="41" t="str">
        <x:v>3</x:v>
      </x:c>
      <x:c r="P80" s="41" t="str">
        <x:v>added_sugar; vitamin_b12_mcg; vitamin_d_mcg</x:v>
      </x:c>
      <x:c r="Q80" s="41" t="str">
        <x:v>32.0</x:v>
      </x:c>
      <x:c r="R80" s="41" t="str">
        <x:v>0.67</x:v>
      </x:c>
      <x:c r="S80" s="41" t="str">
        <x:v>0.3</x:v>
      </x:c>
      <x:c r="T80" s="41" t="str">
        <x:v>7.68</x:v>
      </x:c>
      <x:c r="U80" s="41" t="str">
        <x:v>2.0</x:v>
      </x:c>
      <x:c r="V80" s="41" t="str">
        <x:v>1.0</x:v>
      </x:c>
      <x:c r="W80" s="41" t="str">
        <x:v>0.0025</x:v>
      </x:c>
      <x:c r="X80" s="41" t="str">
        <x:v>повседневный базовый продукт; предполагаемых нулей: 3; проверить корректность состояния продукта</x:v>
      </x:c>
      <x:c r="Y80" s="38" t="str">
        <x:v>NOT_REVIEWED</x:v>
      </x:c>
      <x:c r="Z80" s="38" t="str">
        <x:v>NOT_REVIEWED</x:v>
      </x:c>
      <x:c r="AA80" s="38" t="str">
        <x:v>NOT_REVIEWED</x:v>
      </x:c>
      <x:c r="AB80" s="38" t="str">
        <x:v>NOT_REVIEWED</x:v>
      </x:c>
      <x:c r="AC80" s="38" t="str">
        <x:v>NOT_REVIEWED</x:v>
      </x:c>
      <x:c r="AD80" s="38" t="str">
        <x:v>NOT_REVIEWED</x:v>
      </x:c>
      <x:c r="AE80" s="38" t="str">
        <x:v>NOT_REVIEWED</x:v>
      </x:c>
      <x:c r="AF80" s="38" t="str">
        <x:v>NOT_REVIEWED</x:v>
      </x:c>
      <x:c r="AG80" s="38" t="str">
        <x:v>NOT_REVIEWED</x:v>
      </x:c>
      <x:c r="AH80" s="41" t="str"/>
      <x:c r="AI80" s="41" t="str"/>
      <x:c r="AJ80" s="41" t="str"/>
      <x:c r="AK80" s="41" t="str"/>
      <x:c r="AL80" s="41" t="str"/>
    </x:row>
    <x:row r="81" ht="144" hidden="0" customHeight="1">
      <x:c r="A81" s="38" t="str">
        <x:v>80</x:v>
      </x:c>
      <x:c r="B81" s="38" t="str">
        <x:v>Фрукты и ягоды</x:v>
      </x:c>
      <x:c r="C81" s="41" t="str">
        <x:v>raspberry</x:v>
      </x:c>
      <x:c r="D81" s="41" t="str">
        <x:v>Малина (сырая)</x:v>
      </x:c>
      <x:c r="E81" s="41" t="str">
        <x:v>Fruits</x:v>
      </x:c>
      <x:c r="F81" s="41" t="str">
        <x:v>prepared</x:v>
      </x:c>
      <x:c r="G81" s="38" t="str">
        <x:v>MEDIUM</x:v>
      </x:c>
      <x:c r="H81" s="38" t="str">
        <x:v>0.63</x:v>
      </x:c>
      <x:c r="I81" s="38" t="str">
        <x:v>CONDITIONALLY_ACCEPTED</x:v>
      </x:c>
      <x:c r="J81" s="41" t="str">
        <x:v>BORROWED_PROXY</x:v>
      </x:c>
      <x:c r="K81" s="41" t="str">
        <x:v>LOGIC_PROXY:raspberry</x:v>
      </x:c>
      <x:c r="L81" s="41" t="str">
        <x:v>INTERNAL_LOGIC_PROXY_FROM_CURRENT_DB_KBJU_AND_FOOD_CLASS</x:v>
      </x:c>
      <x:c r="M81" s="41" t="str">
        <x:v>v5.3.68 product DB QA pass, 2026-07-08</x:v>
      </x:c>
      <x:c r="N81" s="41" t="str">
        <x:v>internal://nutrition-calculator/logic-proxy/v5.3.68/raspberry</x:v>
      </x:c>
      <x:c r="O81" s="41" t="str">
        <x:v>3</x:v>
      </x:c>
      <x:c r="P81" s="41" t="str">
        <x:v>added_sugar; vitamin_b12_mcg; vitamin_d_mcg</x:v>
      </x:c>
      <x:c r="Q81" s="41" t="str">
        <x:v>52.0</x:v>
      </x:c>
      <x:c r="R81" s="41" t="str">
        <x:v>1.2</x:v>
      </x:c>
      <x:c r="S81" s="41" t="str">
        <x:v>0.65</x:v>
      </x:c>
      <x:c r="T81" s="41" t="str">
        <x:v>11.94</x:v>
      </x:c>
      <x:c r="U81" s="41" t="str">
        <x:v>6.5</x:v>
      </x:c>
      <x:c r="V81" s="41" t="str">
        <x:v>1.0</x:v>
      </x:c>
      <x:c r="W81" s="41" t="str">
        <x:v>0.0025</x:v>
      </x:c>
      <x:c r="X81" s="41" t="str">
        <x:v>повседневный базовый продукт; предполагаемых нулей: 3; проверить корректность состояния продукта</x:v>
      </x:c>
      <x:c r="Y81" s="38" t="str">
        <x:v>NOT_REVIEWED</x:v>
      </x:c>
      <x:c r="Z81" s="38" t="str">
        <x:v>NOT_REVIEWED</x:v>
      </x:c>
      <x:c r="AA81" s="38" t="str">
        <x:v>NOT_REVIEWED</x:v>
      </x:c>
      <x:c r="AB81" s="38" t="str">
        <x:v>NOT_REVIEWED</x:v>
      </x:c>
      <x:c r="AC81" s="38" t="str">
        <x:v>NOT_REVIEWED</x:v>
      </x:c>
      <x:c r="AD81" s="38" t="str">
        <x:v>NOT_REVIEWED</x:v>
      </x:c>
      <x:c r="AE81" s="38" t="str">
        <x:v>NOT_REVIEWED</x:v>
      </x:c>
      <x:c r="AF81" s="38" t="str">
        <x:v>NOT_REVIEWED</x:v>
      </x:c>
      <x:c r="AG81" s="38" t="str">
        <x:v>NOT_REVIEWED</x:v>
      </x:c>
      <x:c r="AH81" s="41" t="str"/>
      <x:c r="AI81" s="41" t="str"/>
      <x:c r="AJ81" s="41" t="str"/>
      <x:c r="AK81" s="41" t="str"/>
      <x:c r="AL81" s="41" t="str"/>
    </x:row>
    <x:row r="82" ht="84" hidden="0" customHeight="1">
      <x:c r="A82" s="38" t="str">
        <x:v>81</x:v>
      </x:c>
      <x:c r="B82" s="38" t="str">
        <x:v>Фрукты и ягоды</x:v>
      </x:c>
      <x:c r="C82" s="41" t="str">
        <x:v>blueberry_frozen_unsweetened</x:v>
      </x:c>
      <x:c r="D82" s="41" t="str">
        <x:v>Черника замороженная без сахара</x:v>
      </x:c>
      <x:c r="E82" s="41" t="str">
        <x:v>Fruits</x:v>
      </x:c>
      <x:c r="F82" s="41" t="str">
        <x:v>frozen</x:v>
      </x:c>
      <x:c r="G82" s="38" t="str">
        <x:v>MEDIUM</x:v>
      </x:c>
      <x:c r="H82" s="38" t="str">
        <x:v>0.62</x:v>
      </x:c>
      <x:c r="I82" s="38" t="str">
        <x:v>CONDITIONALLY_ACCEPTED</x:v>
      </x:c>
      <x:c r="J82" s="41" t="str">
        <x:v>BORROWED_PROXY</x:v>
      </x:c>
      <x:c r="K82" s="41" t="str">
        <x:v>STATE_EQUIVALENT_PROXY:BLUEBERRY_FROZEN_UNSWEETENED</x:v>
      </x:c>
      <x:c r="L82" s="41" t="str">
        <x:v>AUDITED_FRESH_FRUIT_PROFILE_AS_UNSWEETENED_FROZEN_PROXY</x:v>
      </x:c>
      <x:c r="M82" s="41" t="str">
        <x:v>v5.3.118 state-equivalent proxy</x:v>
      </x:c>
      <x:c r="N82" s="41" t="str"/>
      <x:c r="O82" s="41" t="str">
        <x:v>3</x:v>
      </x:c>
      <x:c r="P82" s="41" t="str">
        <x:v>added_sugar; vitamin_b12_mcg; vitamin_d_mcg</x:v>
      </x:c>
      <x:c r="Q82" s="41" t="str">
        <x:v>57.0</x:v>
      </x:c>
      <x:c r="R82" s="41" t="str">
        <x:v>0.74</x:v>
      </x:c>
      <x:c r="S82" s="41" t="str">
        <x:v>0.33</x:v>
      </x:c>
      <x:c r="T82" s="41" t="str">
        <x:v>14.49</x:v>
      </x:c>
      <x:c r="U82" s="41" t="str">
        <x:v>2.4</x:v>
      </x:c>
      <x:c r="V82" s="41" t="str">
        <x:v>1.0</x:v>
      </x:c>
      <x:c r="W82" s="41" t="str">
        <x:v>0.0025</x:v>
      </x:c>
      <x:c r="X82" s="41" t="str">
        <x:v>повседневный базовый продукт; предполагаемых нулей: 3</x:v>
      </x:c>
      <x:c r="Y82" s="38" t="str">
        <x:v>NOT_REVIEWED</x:v>
      </x:c>
      <x:c r="Z82" s="38" t="str">
        <x:v>NOT_REVIEWED</x:v>
      </x:c>
      <x:c r="AA82" s="38" t="str">
        <x:v>NOT_REVIEWED</x:v>
      </x:c>
      <x:c r="AB82" s="38" t="str">
        <x:v>NOT_REVIEWED</x:v>
      </x:c>
      <x:c r="AC82" s="38" t="str">
        <x:v>NOT_REVIEWED</x:v>
      </x:c>
      <x:c r="AD82" s="38" t="str">
        <x:v>NOT_REVIEWED</x:v>
      </x:c>
      <x:c r="AE82" s="38" t="str">
        <x:v>NOT_REVIEWED</x:v>
      </x:c>
      <x:c r="AF82" s="38" t="str">
        <x:v>NOT_REVIEWED</x:v>
      </x:c>
      <x:c r="AG82" s="38" t="str">
        <x:v>NOT_REVIEWED</x:v>
      </x:c>
      <x:c r="AH82" s="41" t="str"/>
      <x:c r="AI82" s="41" t="str"/>
      <x:c r="AJ82" s="41" t="str"/>
      <x:c r="AK82" s="41" t="str"/>
      <x:c r="AL82" s="41" t="str"/>
    </x:row>
    <x:row r="83" ht="144" hidden="0" customHeight="1">
      <x:c r="A83" s="38" t="str">
        <x:v>82</x:v>
      </x:c>
      <x:c r="B83" s="38" t="str">
        <x:v>Фрукты и ягоды</x:v>
      </x:c>
      <x:c r="C83" s="41" t="str">
        <x:v>kiwi</x:v>
      </x:c>
      <x:c r="D83" s="41" t="str">
        <x:v>Киви (сырой)</x:v>
      </x:c>
      <x:c r="E83" s="41" t="str">
        <x:v>Fruits</x:v>
      </x:c>
      <x:c r="F83" s="41" t="str">
        <x:v>prepared</x:v>
      </x:c>
      <x:c r="G83" s="38" t="str">
        <x:v>MEDIUM</x:v>
      </x:c>
      <x:c r="H83" s="38" t="str">
        <x:v>0.63</x:v>
      </x:c>
      <x:c r="I83" s="38" t="str">
        <x:v>CONDITIONALLY_ACCEPTED</x:v>
      </x:c>
      <x:c r="J83" s="41" t="str">
        <x:v>BORROWED_PROXY</x:v>
      </x:c>
      <x:c r="K83" s="41" t="str">
        <x:v>LOGIC_PROXY:kiwi</x:v>
      </x:c>
      <x:c r="L83" s="41" t="str">
        <x:v>INTERNAL_LOGIC_PROXY_FROM_CURRENT_DB_KBJU_AND_FOOD_CLASS</x:v>
      </x:c>
      <x:c r="M83" s="41" t="str">
        <x:v>v5.3.68 product DB QA pass, 2026-07-08</x:v>
      </x:c>
      <x:c r="N83" s="41" t="str">
        <x:v>internal://nutrition-calculator/logic-proxy/v5.3.68/kiwi</x:v>
      </x:c>
      <x:c r="O83" s="41" t="str">
        <x:v>3</x:v>
      </x:c>
      <x:c r="P83" s="41" t="str">
        <x:v>added_sugar; vitamin_b12_mcg; vitamin_d_mcg</x:v>
      </x:c>
      <x:c r="Q83" s="41" t="str">
        <x:v>61.0</x:v>
      </x:c>
      <x:c r="R83" s="41" t="str">
        <x:v>1.14</x:v>
      </x:c>
      <x:c r="S83" s="41" t="str">
        <x:v>0.52</x:v>
      </x:c>
      <x:c r="T83" s="41" t="str">
        <x:v>14.66</x:v>
      </x:c>
      <x:c r="U83" s="41" t="str">
        <x:v>3.0</x:v>
      </x:c>
      <x:c r="V83" s="41" t="str">
        <x:v>3.0</x:v>
      </x:c>
      <x:c r="W83" s="41" t="str">
        <x:v>0.0076</x:v>
      </x:c>
      <x:c r="X83" s="41" t="str">
        <x:v>повседневный базовый продукт; предполагаемых нулей: 3; проверить корректность состояния продукта</x:v>
      </x:c>
      <x:c r="Y83" s="38" t="str">
        <x:v>NOT_REVIEWED</x:v>
      </x:c>
      <x:c r="Z83" s="38" t="str">
        <x:v>NOT_REVIEWED</x:v>
      </x:c>
      <x:c r="AA83" s="38" t="str">
        <x:v>NOT_REVIEWED</x:v>
      </x:c>
      <x:c r="AB83" s="38" t="str">
        <x:v>NOT_REVIEWED</x:v>
      </x:c>
      <x:c r="AC83" s="38" t="str">
        <x:v>NOT_REVIEWED</x:v>
      </x:c>
      <x:c r="AD83" s="38" t="str">
        <x:v>NOT_REVIEWED</x:v>
      </x:c>
      <x:c r="AE83" s="38" t="str">
        <x:v>NOT_REVIEWED</x:v>
      </x:c>
      <x:c r="AF83" s="38" t="str">
        <x:v>NOT_REVIEWED</x:v>
      </x:c>
      <x:c r="AG83" s="38" t="str">
        <x:v>NOT_REVIEWED</x:v>
      </x:c>
      <x:c r="AH83" s="41" t="str"/>
      <x:c r="AI83" s="41" t="str"/>
      <x:c r="AJ83" s="41" t="str"/>
      <x:c r="AK83" s="41" t="str"/>
      <x:c r="AL83" s="41" t="str"/>
    </x:row>
    <x:row r="84" ht="108" hidden="0" customHeight="1">
      <x:c r="A84" s="38" t="str">
        <x:v>83</x:v>
      </x:c>
      <x:c r="B84" s="38" t="str">
        <x:v>Фрукты и ягоды</x:v>
      </x:c>
      <x:c r="C84" s="41" t="str">
        <x:v>avocado</x:v>
      </x:c>
      <x:c r="D84" s="41" t="str">
        <x:v>Авокадо (сырой)</x:v>
      </x:c>
      <x:c r="E84" s="41" t="str">
        <x:v>Vegetables</x:v>
      </x:c>
      <x:c r="F84" s="41" t="str">
        <x:v>prepared</x:v>
      </x:c>
      <x:c r="G84" s="38" t="str">
        <x:v>HIGH</x:v>
      </x:c>
      <x:c r="H84" s="38" t="str">
        <x:v>0.98</x:v>
      </x:c>
      <x:c r="I84" s="38" t="str">
        <x:v>VERIFIED</x:v>
      </x:c>
      <x:c r="J84" s="41" t="str">
        <x:v>PRIMARY_DATASET</x:v>
      </x:c>
      <x:c r="K84" s="41" t="str">
        <x:v>USDA_FDC:2709223</x:v>
      </x:c>
      <x:c r="L84" s="41" t="str">
        <x:v>USDA_FDC_SURVEY_FNDDS_2024_10_31</x:v>
      </x:c>
      <x:c r="M84" s="41" t="str">
        <x:v>uploaded FoodData Central JSON, local QA pass v5.3.68</x:v>
      </x:c>
      <x:c r="N84" s="41" t="str">
        <x:v>https://fdc.nal.usda.gov/fdc-app.html#/food-details/2709223/nutrients</x:v>
      </x:c>
      <x:c r="O84" s="41" t="str">
        <x:v>0</x:v>
      </x:c>
      <x:c r="P84" s="41" t="str"/>
      <x:c r="Q84" s="41" t="str">
        <x:v>160.0</x:v>
      </x:c>
      <x:c r="R84" s="41" t="str">
        <x:v>2.0</x:v>
      </x:c>
      <x:c r="S84" s="41" t="str">
        <x:v>14.7</x:v>
      </x:c>
      <x:c r="T84" s="41" t="str">
        <x:v>8.53</x:v>
      </x:c>
      <x:c r="U84" s="41" t="str">
        <x:v>6.7</x:v>
      </x:c>
      <x:c r="V84" s="41" t="str">
        <x:v>7.0</x:v>
      </x:c>
      <x:c r="W84" s="41" t="str">
        <x:v>0.0178</x:v>
      </x:c>
      <x:c r="X84" s="41" t="str">
        <x:v>повседневный базовый продукт; проверить корректность состояния продукта</x:v>
      </x:c>
      <x:c r="Y84" s="38" t="str">
        <x:v>NOT_REVIEWED</x:v>
      </x:c>
      <x:c r="Z84" s="38" t="str">
        <x:v>NOT_REVIEWED</x:v>
      </x:c>
      <x:c r="AA84" s="38" t="str">
        <x:v>NOT_REVIEWED</x:v>
      </x:c>
      <x:c r="AB84" s="38" t="str">
        <x:v>NOT_REVIEWED</x:v>
      </x:c>
      <x:c r="AC84" s="38" t="str">
        <x:v>NOT_REVIEWED</x:v>
      </x:c>
      <x:c r="AD84" s="38" t="str">
        <x:v>NOT_REVIEWED</x:v>
      </x:c>
      <x:c r="AE84" s="38" t="str">
        <x:v>NOT_REVIEWED</x:v>
      </x:c>
      <x:c r="AF84" s="38" t="str">
        <x:v>NOT_REVIEWED</x:v>
      </x:c>
      <x:c r="AG84" s="38" t="str">
        <x:v>NOT_REVIEWED</x:v>
      </x:c>
      <x:c r="AH84" s="41" t="str"/>
      <x:c r="AI84" s="41" t="str"/>
      <x:c r="AJ84" s="41" t="str"/>
      <x:c r="AK84" s="41" t="str"/>
      <x:c r="AL84" s="41" t="str"/>
    </x:row>
    <x:row r="85" ht="144" hidden="0" customHeight="1">
      <x:c r="A85" s="38" t="str">
        <x:v>84</x:v>
      </x:c>
      <x:c r="B85" s="38" t="str">
        <x:v>Фрукты и ягоды</x:v>
      </x:c>
      <x:c r="C85" s="41" t="str">
        <x:v>watermelon</x:v>
      </x:c>
      <x:c r="D85" s="41" t="str">
        <x:v>Арбуз</x:v>
      </x:c>
      <x:c r="E85" s="41" t="str">
        <x:v>Fruits</x:v>
      </x:c>
      <x:c r="F85" s="41" t="str">
        <x:v>prepared</x:v>
      </x:c>
      <x:c r="G85" s="38" t="str">
        <x:v>MEDIUM</x:v>
      </x:c>
      <x:c r="H85" s="38" t="str">
        <x:v>0.63</x:v>
      </x:c>
      <x:c r="I85" s="38" t="str">
        <x:v>CONDITIONALLY_ACCEPTED</x:v>
      </x:c>
      <x:c r="J85" s="41" t="str">
        <x:v>BORROWED_PROXY</x:v>
      </x:c>
      <x:c r="K85" s="41" t="str">
        <x:v>LOGIC_PROXY:watermelon</x:v>
      </x:c>
      <x:c r="L85" s="41" t="str">
        <x:v>INTERNAL_LOGIC_PROXY_FROM_CURRENT_DB_KBJU_AND_FOOD_CLASS</x:v>
      </x:c>
      <x:c r="M85" s="41" t="str">
        <x:v>v5.3.68 product DB QA pass, 2026-07-08</x:v>
      </x:c>
      <x:c r="N85" s="41" t="str">
        <x:v>internal://nutrition-calculator/logic-proxy/v5.3.68/watermelon</x:v>
      </x:c>
      <x:c r="O85" s="41" t="str">
        <x:v>3</x:v>
      </x:c>
      <x:c r="P85" s="41" t="str">
        <x:v>added_sugar; vitamin_b12_mcg; vitamin_d_mcg</x:v>
      </x:c>
      <x:c r="Q85" s="41" t="str">
        <x:v>30.0</x:v>
      </x:c>
      <x:c r="R85" s="41" t="str">
        <x:v>0.61</x:v>
      </x:c>
      <x:c r="S85" s="41" t="str">
        <x:v>0.15</x:v>
      </x:c>
      <x:c r="T85" s="41" t="str">
        <x:v>7.55</x:v>
      </x:c>
      <x:c r="U85" s="41" t="str">
        <x:v>0.4</x:v>
      </x:c>
      <x:c r="V85" s="41" t="str">
        <x:v>1.0</x:v>
      </x:c>
      <x:c r="W85" s="41" t="str">
        <x:v>0.0025</x:v>
      </x:c>
      <x:c r="X85" s="41" t="str">
        <x:v>повседневный базовый продукт; предполагаемых нулей: 3; проверить корректность состояния продукта</x:v>
      </x:c>
      <x:c r="Y85" s="38" t="str">
        <x:v>NOT_REVIEWED</x:v>
      </x:c>
      <x:c r="Z85" s="38" t="str">
        <x:v>NOT_REVIEWED</x:v>
      </x:c>
      <x:c r="AA85" s="38" t="str">
        <x:v>NOT_REVIEWED</x:v>
      </x:c>
      <x:c r="AB85" s="38" t="str">
        <x:v>NOT_REVIEWED</x:v>
      </x:c>
      <x:c r="AC85" s="38" t="str">
        <x:v>NOT_REVIEWED</x:v>
      </x:c>
      <x:c r="AD85" s="38" t="str">
        <x:v>NOT_REVIEWED</x:v>
      </x:c>
      <x:c r="AE85" s="38" t="str">
        <x:v>NOT_REVIEWED</x:v>
      </x:c>
      <x:c r="AF85" s="38" t="str">
        <x:v>NOT_REVIEWED</x:v>
      </x:c>
      <x:c r="AG85" s="38" t="str">
        <x:v>NOT_REVIEWED</x:v>
      </x:c>
      <x:c r="AH85" s="41" t="str"/>
      <x:c r="AI85" s="41" t="str"/>
      <x:c r="AJ85" s="41" t="str"/>
      <x:c r="AK85" s="41" t="str"/>
      <x:c r="AL85" s="41" t="str"/>
    </x:row>
    <x:row r="86" ht="144" hidden="0" customHeight="1">
      <x:c r="A86" s="38" t="str">
        <x:v>85</x:v>
      </x:c>
      <x:c r="B86" s="38" t="str">
        <x:v>Фрукты и ягоды</x:v>
      </x:c>
      <x:c r="C86" s="41" t="str">
        <x:v>peach</x:v>
      </x:c>
      <x:c r="D86" s="41" t="str">
        <x:v>Персик (сырой)</x:v>
      </x:c>
      <x:c r="E86" s="41" t="str">
        <x:v>Fruits</x:v>
      </x:c>
      <x:c r="F86" s="41" t="str">
        <x:v>prepared</x:v>
      </x:c>
      <x:c r="G86" s="38" t="str">
        <x:v>MEDIUM</x:v>
      </x:c>
      <x:c r="H86" s="38" t="str">
        <x:v>0.63</x:v>
      </x:c>
      <x:c r="I86" s="38" t="str">
        <x:v>CONDITIONALLY_ACCEPTED</x:v>
      </x:c>
      <x:c r="J86" s="41" t="str">
        <x:v>BORROWED_PROXY</x:v>
      </x:c>
      <x:c r="K86" s="41" t="str">
        <x:v>LOGIC_PROXY:peach</x:v>
      </x:c>
      <x:c r="L86" s="41" t="str">
        <x:v>INTERNAL_LOGIC_PROXY_FROM_CURRENT_DB_KBJU_AND_FOOD_CLASS</x:v>
      </x:c>
      <x:c r="M86" s="41" t="str">
        <x:v>v5.3.68 product DB QA pass, 2026-07-08</x:v>
      </x:c>
      <x:c r="N86" s="41" t="str">
        <x:v>internal://nutrition-calculator/logic-proxy/v5.3.68/peach</x:v>
      </x:c>
      <x:c r="O86" s="41" t="str">
        <x:v>5</x:v>
      </x:c>
      <x:c r="P86" s="41" t="str">
        <x:v>added_sugar; salt; sodium_mg; vitamin_b12_mcg; vitamin_d_mcg</x:v>
      </x:c>
      <x:c r="Q86" s="41" t="str">
        <x:v>39.0</x:v>
      </x:c>
      <x:c r="R86" s="41" t="str">
        <x:v>0.91</x:v>
      </x:c>
      <x:c r="S86" s="41" t="str">
        <x:v>0.25</x:v>
      </x:c>
      <x:c r="T86" s="41" t="str">
        <x:v>9.54</x:v>
      </x:c>
      <x:c r="U86" s="41" t="str">
        <x:v>1.5</x:v>
      </x:c>
      <x:c r="V86" s="41" t="str">
        <x:v>0</x:v>
      </x:c>
      <x:c r="W86" s="41" t="str">
        <x:v>0</x:v>
      </x:c>
      <x:c r="X86" s="41" t="str">
        <x:v>повседневный базовый продукт; предполагаемых нулей: 5; проверить корректность состояния продукта</x:v>
      </x:c>
      <x:c r="Y86" s="38" t="str">
        <x:v>NOT_REVIEWED</x:v>
      </x:c>
      <x:c r="Z86" s="38" t="str">
        <x:v>NOT_REVIEWED</x:v>
      </x:c>
      <x:c r="AA86" s="38" t="str">
        <x:v>NOT_REVIEWED</x:v>
      </x:c>
      <x:c r="AB86" s="38" t="str">
        <x:v>NOT_REVIEWED</x:v>
      </x:c>
      <x:c r="AC86" s="38" t="str">
        <x:v>NOT_REVIEWED</x:v>
      </x:c>
      <x:c r="AD86" s="38" t="str">
        <x:v>NOT_REVIEWED</x:v>
      </x:c>
      <x:c r="AE86" s="38" t="str">
        <x:v>NOT_REVIEWED</x:v>
      </x:c>
      <x:c r="AF86" s="38" t="str">
        <x:v>NOT_REVIEWED</x:v>
      </x:c>
      <x:c r="AG86" s="38" t="str">
        <x:v>NOT_REVIEWED</x:v>
      </x:c>
      <x:c r="AH86" s="41" t="str"/>
      <x:c r="AI86" s="41" t="str"/>
      <x:c r="AJ86" s="41" t="str"/>
      <x:c r="AK86" s="41" t="str"/>
      <x:c r="AL86" s="41" t="str"/>
    </x:row>
    <x:row r="87" ht="516" hidden="0" customHeight="1">
      <x:c r="A87" s="38" t="str">
        <x:v>86</x:v>
      </x:c>
      <x:c r="B87" s="38" t="str">
        <x:v>Жиры, приправы и риск-позиции</x:v>
      </x:c>
      <x:c r="C87" s="41" t="str">
        <x:v>olive_oil_evoo_other</x:v>
      </x:c>
      <x:c r="D87" s="41" t="str">
        <x:v>Масло оливковое, extra virgin</x:v>
      </x:c>
      <x:c r="E87" s="41" t="str">
        <x:v>Other</x:v>
      </x:c>
      <x:c r="F87" s="41" t="str">
        <x:v>raw</x:v>
      </x:c>
      <x:c r="G87" s="38" t="str">
        <x:v>LOW</x:v>
      </x:c>
      <x:c r="H87" s="38" t="str">
        <x:v>0.52</x:v>
      </x:c>
      <x:c r="I87" s="38" t="str">
        <x:v>REVIEW_REQUIRED</x:v>
      </x:c>
      <x:c r="J87" s="41" t="str">
        <x:v>BORROWED_PROXY</x:v>
      </x:c>
      <x:c r="K87" s="41" t="str">
        <x:v>LOGIC_PROXY:olive_oil_evoo_other</x:v>
      </x:c>
      <x:c r="L87" s="41" t="str">
        <x:v>INTERNAL_LOGIC_PROXY_FROM_CURRENT_DB_KBJU_AND_FOOD_CLASS</x:v>
      </x:c>
      <x:c r="M87" s="41" t="str">
        <x:v>v5.3.68 product DB QA pass, 2026-07-08</x:v>
      </x:c>
      <x:c r="N87" s="41" t="str">
        <x:v>internal://nutrition-calculator/logic-proxy/v5.3.68/olive_oil_evoo_other</x:v>
      </x:c>
      <x:c r="O87" s="41" t="str">
        <x:v>22</x:v>
      </x:c>
      <x:c r="P87" s="41" t="str">
        <x:v>added_sugar; carbs_per_100g; choline_mg; copper_mg; fiber_per_100g; magnesium_mg; manganese_mg; phosphorus_mg; protein_per_100g; selenium_ug; sugar_per_100g; vitamin_a_mcg; vitamin_b12_mcg; vitamin_b1_mg; vitamin_b2_mg; vitamin_b3_mg; vitamin_b5_mg; vitamin_b6_mg; vitamin_b9_mcg; vitamin_c_mg; vitamin_d_mcg; zinc_mg</x:v>
      </x:c>
      <x:c r="Q87" s="41" t="str">
        <x:v>884.0</x:v>
      </x:c>
      <x:c r="R87" s="41" t="str">
        <x:v>0</x:v>
      </x:c>
      <x:c r="S87" s="41" t="str">
        <x:v>100.0</x:v>
      </x:c>
      <x:c r="T87" s="41" t="str">
        <x:v>0</x:v>
      </x:c>
      <x:c r="U87" s="41" t="str">
        <x:v>0</x:v>
      </x:c>
      <x:c r="V87" s="41" t="str">
        <x:v>2.0</x:v>
      </x:c>
      <x:c r="W87" s="41" t="str">
        <x:v>0.0051</x:v>
      </x:c>
      <x:c r="X87" s="41" t="str">
        <x:v>обязательная проверка: LOW / REVIEW_REQUIRED; предполагаемых нулей: 22; проверить корректность состояния продукта</x:v>
      </x:c>
      <x:c r="Y87" s="38" t="str">
        <x:v>NOT_REVIEWED</x:v>
      </x:c>
      <x:c r="Z87" s="38" t="str">
        <x:v>NOT_REVIEWED</x:v>
      </x:c>
      <x:c r="AA87" s="38" t="str">
        <x:v>NOT_REVIEWED</x:v>
      </x:c>
      <x:c r="AB87" s="38" t="str">
        <x:v>NOT_REVIEWED</x:v>
      </x:c>
      <x:c r="AC87" s="38" t="str">
        <x:v>NOT_REVIEWED</x:v>
      </x:c>
      <x:c r="AD87" s="38" t="str">
        <x:v>NOT_REVIEWED</x:v>
      </x:c>
      <x:c r="AE87" s="38" t="str">
        <x:v>NOT_REVIEWED</x:v>
      </x:c>
      <x:c r="AF87" s="38" t="str">
        <x:v>NOT_REVIEWED</x:v>
      </x:c>
      <x:c r="AG87" s="38" t="str">
        <x:v>NOT_REVIEWED</x:v>
      </x:c>
      <x:c r="AH87" s="41" t="str"/>
      <x:c r="AI87" s="41" t="str"/>
      <x:c r="AJ87" s="41" t="str"/>
      <x:c r="AK87" s="41" t="str"/>
      <x:c r="AL87" s="41" t="str"/>
    </x:row>
    <x:row r="88" ht="576" hidden="0" customHeight="1">
      <x:c r="A88" s="38" t="str">
        <x:v>87</x:v>
      </x:c>
      <x:c r="B88" s="38" t="str">
        <x:v>Жиры, приправы и риск-позиции</x:v>
      </x:c>
      <x:c r="C88" s="41" t="str">
        <x:v>sunflower_oil_other</x:v>
      </x:c>
      <x:c r="D88" s="41" t="str">
        <x:v>Масло подсолнечное, рафинированное</x:v>
      </x:c>
      <x:c r="E88" s="41" t="str">
        <x:v>Other</x:v>
      </x:c>
      <x:c r="F88" s="41" t="str">
        <x:v>raw</x:v>
      </x:c>
      <x:c r="G88" s="38" t="str">
        <x:v>LOW</x:v>
      </x:c>
      <x:c r="H88" s="38" t="str">
        <x:v>0.52</x:v>
      </x:c>
      <x:c r="I88" s="38" t="str">
        <x:v>REVIEW_REQUIRED</x:v>
      </x:c>
      <x:c r="J88" s="41" t="str">
        <x:v>BORROWED_PROXY</x:v>
      </x:c>
      <x:c r="K88" s="41" t="str">
        <x:v>LOGIC_PROXY:sunflower_oil_other</x:v>
      </x:c>
      <x:c r="L88" s="41" t="str">
        <x:v>INTERNAL_LOGIC_PROXY_FROM_CURRENT_DB_KBJU_AND_FOOD_CLASS</x:v>
      </x:c>
      <x:c r="M88" s="41" t="str">
        <x:v>v5.3.68 product DB QA pass, 2026-07-08</x:v>
      </x:c>
      <x:c r="N88" s="41" t="str">
        <x:v>internal://nutrition-calculator/logic-proxy/v5.3.68/sunflower_oil_other</x:v>
      </x:c>
      <x:c r="O88" s="41" t="str">
        <x:v>25</x:v>
      </x:c>
      <x:c r="P88" s="41" t="str">
        <x:v>added_sugar; calcium_mg; carbs_per_100g; choline_mg; copper_mg; fiber_per_100g; iron_mg; magnesium_mg; manganese_mg; phosphorus_mg; potassium_mg; protein_per_100g; selenium_ug; sugar_per_100g; vitamin_a_mcg; vitamin_b12_mcg; vitamin_b1_mg; vitamin_b2_mg; vitamin_b3_mg; vitamin_b5_mg; vitamin_b6_mg; vitamin_b9_mcg; vitamin_c_mg; vitamin_d_mcg; zinc_mg</x:v>
      </x:c>
      <x:c r="Q88" s="41" t="str">
        <x:v>884.0</x:v>
      </x:c>
      <x:c r="R88" s="41" t="str">
        <x:v>0</x:v>
      </x:c>
      <x:c r="S88" s="41" t="str">
        <x:v>100.0</x:v>
      </x:c>
      <x:c r="T88" s="41" t="str">
        <x:v>0</x:v>
      </x:c>
      <x:c r="U88" s="41" t="str">
        <x:v>0</x:v>
      </x:c>
      <x:c r="V88" s="41" t="str">
        <x:v>2.0</x:v>
      </x:c>
      <x:c r="W88" s="41" t="str">
        <x:v>0.0051</x:v>
      </x:c>
      <x:c r="X88" s="41" t="str">
        <x:v>обязательная проверка: LOW / REVIEW_REQUIRED; предполагаемых нулей: 25; проверить корректность состояния продукта</x:v>
      </x:c>
      <x:c r="Y88" s="38" t="str">
        <x:v>NOT_REVIEWED</x:v>
      </x:c>
      <x:c r="Z88" s="38" t="str">
        <x:v>NOT_REVIEWED</x:v>
      </x:c>
      <x:c r="AA88" s="38" t="str">
        <x:v>NOT_REVIEWED</x:v>
      </x:c>
      <x:c r="AB88" s="38" t="str">
        <x:v>NOT_REVIEWED</x:v>
      </x:c>
      <x:c r="AC88" s="38" t="str">
        <x:v>NOT_REVIEWED</x:v>
      </x:c>
      <x:c r="AD88" s="38" t="str">
        <x:v>NOT_REVIEWED</x:v>
      </x:c>
      <x:c r="AE88" s="38" t="str">
        <x:v>NOT_REVIEWED</x:v>
      </x:c>
      <x:c r="AF88" s="38" t="str">
        <x:v>NOT_REVIEWED</x:v>
      </x:c>
      <x:c r="AG88" s="38" t="str">
        <x:v>NOT_REVIEWED</x:v>
      </x:c>
      <x:c r="AH88" s="41" t="str"/>
      <x:c r="AI88" s="41" t="str"/>
      <x:c r="AJ88" s="41" t="str"/>
      <x:c r="AK88" s="41" t="str"/>
      <x:c r="AL88" s="41" t="str"/>
    </x:row>
    <x:row r="89" ht="612" hidden="0" customHeight="1">
      <x:c r="A89" s="38" t="str">
        <x:v>88</x:v>
      </x:c>
      <x:c r="B89" s="38" t="str">
        <x:v>Жиры, приправы и риск-позиции</x:v>
      </x:c>
      <x:c r="C89" s="41" t="str">
        <x:v>canola_oil_other</x:v>
      </x:c>
      <x:c r="D89" s="41" t="str">
        <x:v>Масло рапсовое (канола)</x:v>
      </x:c>
      <x:c r="E89" s="41" t="str">
        <x:v>Other</x:v>
      </x:c>
      <x:c r="F89" s="41" t="str">
        <x:v>raw</x:v>
      </x:c>
      <x:c r="G89" s="38" t="str">
        <x:v>LOW</x:v>
      </x:c>
      <x:c r="H89" s="38" t="str">
        <x:v>0.52</x:v>
      </x:c>
      <x:c r="I89" s="38" t="str">
        <x:v>REVIEW_REQUIRED</x:v>
      </x:c>
      <x:c r="J89" s="41" t="str">
        <x:v>BORROWED_PROXY</x:v>
      </x:c>
      <x:c r="K89" s="41" t="str">
        <x:v>LOGIC_PROXY:canola_oil_other</x:v>
      </x:c>
      <x:c r="L89" s="41" t="str">
        <x:v>INTERNAL_LOGIC_PROXY_FROM_CURRENT_DB_KBJU_AND_FOOD_CLASS</x:v>
      </x:c>
      <x:c r="M89" s="41" t="str">
        <x:v>v5.3.68 product DB QA pass, 2026-07-08</x:v>
      </x:c>
      <x:c r="N89" s="41" t="str">
        <x:v>internal://nutrition-calculator/logic-proxy/v5.3.68/canola_oil_other</x:v>
      </x:c>
      <x:c r="O89" s="41" t="str">
        <x:v>27</x:v>
      </x:c>
      <x:c r="P89" s="41" t="str">
        <x:v>added_sugar; calcium_mg; carbs_per_100g; choline_mg; copper_mg; fiber_per_100g; iron_mg; magnesium_mg; manganese_mg; phosphorus_mg; potassium_mg; protein_per_100g; salt; selenium_ug; sodium_mg; sugar_per_100g; vitamin_a_mcg; vitamin_b12_mcg; vitamin_b1_mg; vitamin_b2_mg; vitamin_b3_mg; vitamin_b5_mg; vitamin_b6_mg; vitamin_b9_mcg; vitamin_c_mg; vitamin_d_mcg; zinc_mg</x:v>
      </x:c>
      <x:c r="Q89" s="41" t="str">
        <x:v>884.0</x:v>
      </x:c>
      <x:c r="R89" s="41" t="str">
        <x:v>0</x:v>
      </x:c>
      <x:c r="S89" s="41" t="str">
        <x:v>100.0</x:v>
      </x:c>
      <x:c r="T89" s="41" t="str">
        <x:v>0</x:v>
      </x:c>
      <x:c r="U89" s="41" t="str">
        <x:v>0</x:v>
      </x:c>
      <x:c r="V89" s="41" t="str">
        <x:v>0</x:v>
      </x:c>
      <x:c r="W89" s="41" t="str">
        <x:v>0</x:v>
      </x:c>
      <x:c r="X89" s="41" t="str">
        <x:v>обязательная проверка: LOW / REVIEW_REQUIRED; предполагаемых нулей: 27; проверить корректность состояния продукта</x:v>
      </x:c>
      <x:c r="Y89" s="38" t="str">
        <x:v>NOT_REVIEWED</x:v>
      </x:c>
      <x:c r="Z89" s="38" t="str">
        <x:v>NOT_REVIEWED</x:v>
      </x:c>
      <x:c r="AA89" s="38" t="str">
        <x:v>NOT_REVIEWED</x:v>
      </x:c>
      <x:c r="AB89" s="38" t="str">
        <x:v>NOT_REVIEWED</x:v>
      </x:c>
      <x:c r="AC89" s="38" t="str">
        <x:v>NOT_REVIEWED</x:v>
      </x:c>
      <x:c r="AD89" s="38" t="str">
        <x:v>NOT_REVIEWED</x:v>
      </x:c>
      <x:c r="AE89" s="38" t="str">
        <x:v>NOT_REVIEWED</x:v>
      </x:c>
      <x:c r="AF89" s="38" t="str">
        <x:v>NOT_REVIEWED</x:v>
      </x:c>
      <x:c r="AG89" s="38" t="str">
        <x:v>NOT_REVIEWED</x:v>
      </x:c>
      <x:c r="AH89" s="41" t="str"/>
      <x:c r="AI89" s="41" t="str"/>
      <x:c r="AJ89" s="41" t="str"/>
      <x:c r="AK89" s="41" t="str"/>
      <x:c r="AL89" s="41" t="str"/>
    </x:row>
    <x:row r="90" ht="540" hidden="0" customHeight="1">
      <x:c r="A90" s="38" t="str">
        <x:v>89</x:v>
      </x:c>
      <x:c r="B90" s="38" t="str">
        <x:v>Жиры, приправы и риск-позиции</x:v>
      </x:c>
      <x:c r="C90" s="41" t="str">
        <x:v>sugar_white_other</x:v>
      </x:c>
      <x:c r="D90" s="41" t="str">
        <x:v>Сахар белый (песок)</x:v>
      </x:c>
      <x:c r="E90" s="41" t="str">
        <x:v>Other</x:v>
      </x:c>
      <x:c r="F90" s="41" t="str">
        <x:v>raw</x:v>
      </x:c>
      <x:c r="G90" s="38" t="str">
        <x:v>LOW</x:v>
      </x:c>
      <x:c r="H90" s="38" t="str">
        <x:v>0.52</x:v>
      </x:c>
      <x:c r="I90" s="38" t="str">
        <x:v>REVIEW_REQUIRED</x:v>
      </x:c>
      <x:c r="J90" s="41" t="str">
        <x:v>BORROWED_PROXY</x:v>
      </x:c>
      <x:c r="K90" s="41" t="str">
        <x:v>LOGIC_PROXY:sugar_white_other</x:v>
      </x:c>
      <x:c r="L90" s="41" t="str">
        <x:v>INTERNAL_LOGIC_PROXY_FROM_CURRENT_DB_KBJU_AND_FOOD_CLASS</x:v>
      </x:c>
      <x:c r="M90" s="41" t="str">
        <x:v>v5.3.68 product DB QA pass, 2026-07-08</x:v>
      </x:c>
      <x:c r="N90" s="41" t="str">
        <x:v>internal://nutrition-calculator/logic-proxy/v5.3.68/sugar_white_other</x:v>
      </x:c>
      <x:c r="O90" s="41" t="str">
        <x:v>25</x:v>
      </x:c>
      <x:c r="P90" s="41" t="str">
        <x:v>choline_mg; copper_mg; fat_per_100g; fiber_per_100g; iron_mg; magnesium_mg; manganese_mg; phosphorus_mg; protein_per_100g; selenium_ug; sfa; unsat; vitamin_a_mcg; vitamin_b12_mcg; vitamin_b1_mg; vitamin_b2_mg; vitamin_b3_mg; vitamin_b5_mg; vitamin_b6_mg; vitamin_b9_mcg; vitamin_c_mg; vitamin_d_mcg; vitamin_e_mg; vitamin_k_mcg; zinc_mg</x:v>
      </x:c>
      <x:c r="Q90" s="41" t="str">
        <x:v>387.0</x:v>
      </x:c>
      <x:c r="R90" s="41" t="str">
        <x:v>0</x:v>
      </x:c>
      <x:c r="S90" s="41" t="str">
        <x:v>0</x:v>
      </x:c>
      <x:c r="T90" s="41" t="str">
        <x:v>100.0</x:v>
      </x:c>
      <x:c r="U90" s="41" t="str">
        <x:v>0</x:v>
      </x:c>
      <x:c r="V90" s="41" t="str">
        <x:v>1.0</x:v>
      </x:c>
      <x:c r="W90" s="41" t="str">
        <x:v>0.0025</x:v>
      </x:c>
      <x:c r="X90" s="41" t="str">
        <x:v>обязательная проверка: LOW / REVIEW_REQUIRED; предполагаемых нулей: 25; проверить корректность состояния продукта</x:v>
      </x:c>
      <x:c r="Y90" s="38" t="str">
        <x:v>NOT_REVIEWED</x:v>
      </x:c>
      <x:c r="Z90" s="38" t="str">
        <x:v>NOT_REVIEWED</x:v>
      </x:c>
      <x:c r="AA90" s="38" t="str">
        <x:v>NOT_REVIEWED</x:v>
      </x:c>
      <x:c r="AB90" s="38" t="str">
        <x:v>NOT_REVIEWED</x:v>
      </x:c>
      <x:c r="AC90" s="38" t="str">
        <x:v>NOT_REVIEWED</x:v>
      </x:c>
      <x:c r="AD90" s="38" t="str">
        <x:v>NOT_REVIEWED</x:v>
      </x:c>
      <x:c r="AE90" s="38" t="str">
        <x:v>NOT_REVIEWED</x:v>
      </x:c>
      <x:c r="AF90" s="38" t="str">
        <x:v>NOT_REVIEWED</x:v>
      </x:c>
      <x:c r="AG90" s="38" t="str">
        <x:v>NOT_REVIEWED</x:v>
      </x:c>
      <x:c r="AH90" s="41" t="str"/>
      <x:c r="AI90" s="41" t="str"/>
      <x:c r="AJ90" s="41" t="str"/>
      <x:c r="AK90" s="41" t="str"/>
      <x:c r="AL90" s="41" t="str"/>
    </x:row>
    <x:row r="91" ht="540" hidden="0" customHeight="1">
      <x:c r="A91" s="38" t="str">
        <x:v>90</x:v>
      </x:c>
      <x:c r="B91" s="38" t="str">
        <x:v>Жиры, приправы и риск-позиции</x:v>
      </x:c>
      <x:c r="C91" s="41" t="str">
        <x:v>table_salt_other</x:v>
      </x:c>
      <x:c r="D91" s="41" t="str">
        <x:v>Соль поваренная (хлорид натрия)</x:v>
      </x:c>
      <x:c r="E91" s="41" t="str">
        <x:v>Other</x:v>
      </x:c>
      <x:c r="F91" s="41" t="str">
        <x:v>raw</x:v>
      </x:c>
      <x:c r="G91" s="38" t="str">
        <x:v>LOW</x:v>
      </x:c>
      <x:c r="H91" s="38" t="str">
        <x:v>0.52</x:v>
      </x:c>
      <x:c r="I91" s="38" t="str">
        <x:v>REVIEW_REQUIRED</x:v>
      </x:c>
      <x:c r="J91" s="41" t="str">
        <x:v>BORROWED_PROXY</x:v>
      </x:c>
      <x:c r="K91" s="41" t="str">
        <x:v>LOGIC_PROXY:table_salt_other</x:v>
      </x:c>
      <x:c r="L91" s="41" t="str">
        <x:v>INTERNAL_LOGIC_PROXY_FROM_CURRENT_DB_KBJU_AND_FOOD_CLASS</x:v>
      </x:c>
      <x:c r="M91" s="41" t="str">
        <x:v>v5.3.68 product DB QA pass, 2026-07-08</x:v>
      </x:c>
      <x:c r="N91" s="41" t="str">
        <x:v>internal://nutrition-calculator/logic-proxy/v5.3.68/table_salt_other</x:v>
      </x:c>
      <x:c r="O91" s="41" t="str">
        <x:v>25</x:v>
      </x:c>
      <x:c r="P91" s="41" t="str">
        <x:v>added_sugar; carbs_per_100g; choline_mg; fat_per_100g; fiber_per_100g; kcal; manganese_mg; phosphorus_mg; protein_per_100g; selenium_ug; sfa; sugar_per_100g; unsat; vitamin_a_mcg; vitamin_b12_mcg; vitamin_b1_mg; vitamin_b2_mg; vitamin_b3_mg; vitamin_b5_mg; vitamin_b6_mg; vitamin_b9_mcg; vitamin_c_mg; vitamin_d_mcg; vitamin_e_mg; vitamin_k_mcg</x:v>
      </x:c>
      <x:c r="Q91" s="41" t="str">
        <x:v>0</x:v>
      </x:c>
      <x:c r="R91" s="41" t="str">
        <x:v>0</x:v>
      </x:c>
      <x:c r="S91" s="41" t="str">
        <x:v>0</x:v>
      </x:c>
      <x:c r="T91" s="41" t="str">
        <x:v>0</x:v>
      </x:c>
      <x:c r="U91" s="41" t="str">
        <x:v>0</x:v>
      </x:c>
      <x:c r="V91" s="41" t="str">
        <x:v>39000.0</x:v>
      </x:c>
      <x:c r="W91" s="41" t="str">
        <x:v>99.06</x:v>
      </x:c>
      <x:c r="X91" s="41" t="str">
        <x:v>обязательная проверка: LOW / REVIEW_REQUIRED; предполагаемых нулей: 25; проверить корректность состояния продукта</x:v>
      </x:c>
      <x:c r="Y91" s="38" t="str">
        <x:v>NOT_REVIEWED</x:v>
      </x:c>
      <x:c r="Z91" s="38" t="str">
        <x:v>NOT_REVIEWED</x:v>
      </x:c>
      <x:c r="AA91" s="38" t="str">
        <x:v>NOT_REVIEWED</x:v>
      </x:c>
      <x:c r="AB91" s="38" t="str">
        <x:v>NOT_REVIEWED</x:v>
      </x:c>
      <x:c r="AC91" s="38" t="str">
        <x:v>NOT_REVIEWED</x:v>
      </x:c>
      <x:c r="AD91" s="38" t="str">
        <x:v>NOT_REVIEWED</x:v>
      </x:c>
      <x:c r="AE91" s="38" t="str">
        <x:v>NOT_REVIEWED</x:v>
      </x:c>
      <x:c r="AF91" s="38" t="str">
        <x:v>NOT_REVIEWED</x:v>
      </x:c>
      <x:c r="AG91" s="38" t="str">
        <x:v>NOT_REVIEWED</x:v>
      </x:c>
      <x:c r="AH91" s="41" t="str"/>
      <x:c r="AI91" s="41" t="str"/>
      <x:c r="AJ91" s="41" t="str"/>
      <x:c r="AK91" s="41" t="str"/>
      <x:c r="AL91" s="41" t="str"/>
    </x:row>
    <x:row r="92" ht="168" hidden="0" customHeight="1">
      <x:c r="A92" s="38" t="str">
        <x:v>91</x:v>
      </x:c>
      <x:c r="B92" s="38" t="str">
        <x:v>Жиры, приправы и риск-позиции</x:v>
      </x:c>
      <x:c r="C92" s="41" t="str">
        <x:v>ketchup_other</x:v>
      </x:c>
      <x:c r="D92" s="41" t="str">
        <x:v>Кетчуп</x:v>
      </x:c>
      <x:c r="E92" s="41" t="str">
        <x:v>Other</x:v>
      </x:c>
      <x:c r="F92" s="41" t="str">
        <x:v>prepared</x:v>
      </x:c>
      <x:c r="G92" s="38" t="str">
        <x:v>LOW</x:v>
      </x:c>
      <x:c r="H92" s="38" t="str">
        <x:v>0.52</x:v>
      </x:c>
      <x:c r="I92" s="38" t="str">
        <x:v>REVIEW_REQUIRED</x:v>
      </x:c>
      <x:c r="J92" s="41" t="str">
        <x:v>BORROWED_PROXY</x:v>
      </x:c>
      <x:c r="K92" s="41" t="str">
        <x:v>LOGIC_PROXY:ketchup_other</x:v>
      </x:c>
      <x:c r="L92" s="41" t="str">
        <x:v>INTERNAL_LOGIC_PROXY_FROM_CURRENT_DB_KBJU_AND_FOOD_CLASS</x:v>
      </x:c>
      <x:c r="M92" s="41" t="str">
        <x:v>v5.3.68 product DB QA pass, 2026-07-08</x:v>
      </x:c>
      <x:c r="N92" s="41" t="str">
        <x:v>internal://nutrition-calculator/logic-proxy/v5.3.68/ketchup_other</x:v>
      </x:c>
      <x:c r="O92" s="41" t="str">
        <x:v>2</x:v>
      </x:c>
      <x:c r="P92" s="41" t="str">
        <x:v>vitamin_b12_mcg; vitamin_d_mcg</x:v>
      </x:c>
      <x:c r="Q92" s="41" t="str">
        <x:v>112.0</x:v>
      </x:c>
      <x:c r="R92" s="41" t="str">
        <x:v>1.3</x:v>
      </x:c>
      <x:c r="S92" s="41" t="str">
        <x:v>0.1</x:v>
      </x:c>
      <x:c r="T92" s="41" t="str">
        <x:v>26.8</x:v>
      </x:c>
      <x:c r="U92" s="41" t="str">
        <x:v>0.3</x:v>
      </x:c>
      <x:c r="V92" s="41" t="str">
        <x:v>907.0</x:v>
      </x:c>
      <x:c r="W92" s="41" t="str">
        <x:v>2.3038</x:v>
      </x:c>
      <x:c r="X92" s="41" t="str">
        <x:v>обязательная проверка: LOW / REVIEW_REQUIRED; предполагаемых нулей: 2; проверить корректность состояния продукта</x:v>
      </x:c>
      <x:c r="Y92" s="38" t="str">
        <x:v>NOT_REVIEWED</x:v>
      </x:c>
      <x:c r="Z92" s="38" t="str">
        <x:v>NOT_REVIEWED</x:v>
      </x:c>
      <x:c r="AA92" s="38" t="str">
        <x:v>NOT_REVIEWED</x:v>
      </x:c>
      <x:c r="AB92" s="38" t="str">
        <x:v>NOT_REVIEWED</x:v>
      </x:c>
      <x:c r="AC92" s="38" t="str">
        <x:v>NOT_REVIEWED</x:v>
      </x:c>
      <x:c r="AD92" s="38" t="str">
        <x:v>NOT_REVIEWED</x:v>
      </x:c>
      <x:c r="AE92" s="38" t="str">
        <x:v>NOT_REVIEWED</x:v>
      </x:c>
      <x:c r="AF92" s="38" t="str">
        <x:v>NOT_REVIEWED</x:v>
      </x:c>
      <x:c r="AG92" s="38" t="str">
        <x:v>NOT_REVIEWED</x:v>
      </x:c>
      <x:c r="AH92" s="41" t="str"/>
      <x:c r="AI92" s="41" t="str"/>
      <x:c r="AJ92" s="41" t="str"/>
      <x:c r="AK92" s="41" t="str"/>
      <x:c r="AL92" s="41" t="str"/>
    </x:row>
    <x:row r="93" ht="168" hidden="0" customHeight="1">
      <x:c r="A93" s="38" t="str">
        <x:v>92</x:v>
      </x:c>
      <x:c r="B93" s="38" t="str">
        <x:v>Жиры, приправы и риск-позиции</x:v>
      </x:c>
      <x:c r="C93" s="41" t="str">
        <x:v>tomato_paste_other</x:v>
      </x:c>
      <x:c r="D93" s="41" t="str">
        <x:v>Томатная паста</x:v>
      </x:c>
      <x:c r="E93" s="41" t="str">
        <x:v>Other</x:v>
      </x:c>
      <x:c r="F93" s="41" t="str">
        <x:v>prepared</x:v>
      </x:c>
      <x:c r="G93" s="38" t="str">
        <x:v>LOW</x:v>
      </x:c>
      <x:c r="H93" s="38" t="str">
        <x:v>0.52</x:v>
      </x:c>
      <x:c r="I93" s="38" t="str">
        <x:v>REVIEW_REQUIRED</x:v>
      </x:c>
      <x:c r="J93" s="41" t="str">
        <x:v>BORROWED_PROXY</x:v>
      </x:c>
      <x:c r="K93" s="41" t="str">
        <x:v>LOGIC_PROXY:tomato_paste_other</x:v>
      </x:c>
      <x:c r="L93" s="41" t="str">
        <x:v>INTERNAL_LOGIC_PROXY_FROM_CURRENT_DB_KBJU_AND_FOOD_CLASS</x:v>
      </x:c>
      <x:c r="M93" s="41" t="str">
        <x:v>v5.3.68 product DB QA pass, 2026-07-08</x:v>
      </x:c>
      <x:c r="N93" s="41" t="str">
        <x:v>internal://nutrition-calculator/logic-proxy/v5.3.68/tomato_paste_other</x:v>
      </x:c>
      <x:c r="O93" s="41" t="str">
        <x:v>3</x:v>
      </x:c>
      <x:c r="P93" s="41" t="str">
        <x:v>added_sugar; vitamin_b12_mcg; vitamin_d_mcg</x:v>
      </x:c>
      <x:c r="Q93" s="41" t="str">
        <x:v>82.0</x:v>
      </x:c>
      <x:c r="R93" s="41" t="str">
        <x:v>4.3</x:v>
      </x:c>
      <x:c r="S93" s="41" t="str">
        <x:v>0.5</x:v>
      </x:c>
      <x:c r="T93" s="41" t="str">
        <x:v>19.0</x:v>
      </x:c>
      <x:c r="U93" s="41" t="str">
        <x:v>4.1</x:v>
      </x:c>
      <x:c r="V93" s="41" t="str">
        <x:v>59.0</x:v>
      </x:c>
      <x:c r="W93" s="41" t="str">
        <x:v>0.15</x:v>
      </x:c>
      <x:c r="X93" s="41" t="str">
        <x:v>обязательная проверка: LOW / REVIEW_REQUIRED; предполагаемых нулей: 3; проверить корректность состояния продукта</x:v>
      </x:c>
      <x:c r="Y93" s="38" t="str">
        <x:v>NOT_REVIEWED</x:v>
      </x:c>
      <x:c r="Z93" s="38" t="str">
        <x:v>NOT_REVIEWED</x:v>
      </x:c>
      <x:c r="AA93" s="38" t="str">
        <x:v>NOT_REVIEWED</x:v>
      </x:c>
      <x:c r="AB93" s="38" t="str">
        <x:v>NOT_REVIEWED</x:v>
      </x:c>
      <x:c r="AC93" s="38" t="str">
        <x:v>NOT_REVIEWED</x:v>
      </x:c>
      <x:c r="AD93" s="38" t="str">
        <x:v>NOT_REVIEWED</x:v>
      </x:c>
      <x:c r="AE93" s="38" t="str">
        <x:v>NOT_REVIEWED</x:v>
      </x:c>
      <x:c r="AF93" s="38" t="str">
        <x:v>NOT_REVIEWED</x:v>
      </x:c>
      <x:c r="AG93" s="38" t="str">
        <x:v>NOT_REVIEWED</x:v>
      </x:c>
      <x:c r="AH93" s="41" t="str"/>
      <x:c r="AI93" s="41" t="str"/>
      <x:c r="AJ93" s="41" t="str"/>
      <x:c r="AK93" s="41" t="str"/>
      <x:c r="AL93" s="41" t="str"/>
    </x:row>
    <x:row r="94" ht="168" hidden="0" customHeight="1">
      <x:c r="A94" s="38" t="str">
        <x:v>93</x:v>
      </x:c>
      <x:c r="B94" s="38" t="str">
        <x:v>Жиры, приправы и риск-позиции</x:v>
      </x:c>
      <x:c r="C94" s="41" t="str">
        <x:v>mustard_other</x:v>
      </x:c>
      <x:c r="D94" s="41" t="str">
        <x:v>Горчица столовая</x:v>
      </x:c>
      <x:c r="E94" s="41" t="str">
        <x:v>Other</x:v>
      </x:c>
      <x:c r="F94" s="41" t="str">
        <x:v>prepared</x:v>
      </x:c>
      <x:c r="G94" s="38" t="str">
        <x:v>LOW</x:v>
      </x:c>
      <x:c r="H94" s="38" t="str">
        <x:v>0.52</x:v>
      </x:c>
      <x:c r="I94" s="38" t="str">
        <x:v>REVIEW_REQUIRED</x:v>
      </x:c>
      <x:c r="J94" s="41" t="str">
        <x:v>BORROWED_PROXY</x:v>
      </x:c>
      <x:c r="K94" s="41" t="str">
        <x:v>LOGIC_PROXY:mustard_other</x:v>
      </x:c>
      <x:c r="L94" s="41" t="str">
        <x:v>INTERNAL_LOGIC_PROXY_FROM_CURRENT_DB_KBJU_AND_FOOD_CLASS</x:v>
      </x:c>
      <x:c r="M94" s="41" t="str">
        <x:v>v5.3.68 product DB QA pass, 2026-07-08</x:v>
      </x:c>
      <x:c r="N94" s="41" t="str">
        <x:v>internal://nutrition-calculator/logic-proxy/v5.3.68/mustard_other</x:v>
      </x:c>
      <x:c r="O94" s="41" t="str">
        <x:v>2</x:v>
      </x:c>
      <x:c r="P94" s="41" t="str">
        <x:v>vitamin_b12_mcg; vitamin_d_mcg</x:v>
      </x:c>
      <x:c r="Q94" s="41" t="str">
        <x:v>66.0</x:v>
      </x:c>
      <x:c r="R94" s="41" t="str">
        <x:v>4.4</x:v>
      </x:c>
      <x:c r="S94" s="41" t="str">
        <x:v>4.4</x:v>
      </x:c>
      <x:c r="T94" s="41" t="str">
        <x:v>6.0</x:v>
      </x:c>
      <x:c r="U94" s="41" t="str">
        <x:v>2.0</x:v>
      </x:c>
      <x:c r="V94" s="41" t="str">
        <x:v>1100.0</x:v>
      </x:c>
      <x:c r="W94" s="41" t="str">
        <x:v>2.794</x:v>
      </x:c>
      <x:c r="X94" s="41" t="str">
        <x:v>обязательная проверка: LOW / REVIEW_REQUIRED; предполагаемых нулей: 2; проверить корректность состояния продукта</x:v>
      </x:c>
      <x:c r="Y94" s="38" t="str">
        <x:v>NOT_REVIEWED</x:v>
      </x:c>
      <x:c r="Z94" s="38" t="str">
        <x:v>NOT_REVIEWED</x:v>
      </x:c>
      <x:c r="AA94" s="38" t="str">
        <x:v>NOT_REVIEWED</x:v>
      </x:c>
      <x:c r="AB94" s="38" t="str">
        <x:v>NOT_REVIEWED</x:v>
      </x:c>
      <x:c r="AC94" s="38" t="str">
        <x:v>NOT_REVIEWED</x:v>
      </x:c>
      <x:c r="AD94" s="38" t="str">
        <x:v>NOT_REVIEWED</x:v>
      </x:c>
      <x:c r="AE94" s="38" t="str">
        <x:v>NOT_REVIEWED</x:v>
      </x:c>
      <x:c r="AF94" s="38" t="str">
        <x:v>NOT_REVIEWED</x:v>
      </x:c>
      <x:c r="AG94" s="38" t="str">
        <x:v>NOT_REVIEWED</x:v>
      </x:c>
      <x:c r="AH94" s="41" t="str"/>
      <x:c r="AI94" s="41" t="str"/>
      <x:c r="AJ94" s="41" t="str"/>
      <x:c r="AK94" s="41" t="str"/>
      <x:c r="AL94" s="41" t="str"/>
    </x:row>
    <x:row r="95" ht="168" hidden="0" customHeight="1">
      <x:c r="A95" s="38" t="str">
        <x:v>94</x:v>
      </x:c>
      <x:c r="B95" s="38" t="str">
        <x:v>Жиры, приправы и риск-позиции</x:v>
      </x:c>
      <x:c r="C95" s="41" t="str">
        <x:v>cucumber_pickled</x:v>
      </x:c>
      <x:c r="D95" s="41" t="str">
        <x:v>Огурцы маринованные</x:v>
      </x:c>
      <x:c r="E95" s="41" t="str">
        <x:v>Vegetables</x:v>
      </x:c>
      <x:c r="F95" s="41" t="str">
        <x:v>pickled</x:v>
      </x:c>
      <x:c r="G95" s="38" t="str">
        <x:v>LOW</x:v>
      </x:c>
      <x:c r="H95" s="38" t="str">
        <x:v>0.52</x:v>
      </x:c>
      <x:c r="I95" s="38" t="str">
        <x:v>REVIEW_REQUIRED</x:v>
      </x:c>
      <x:c r="J95" s="41" t="str">
        <x:v>BORROWED_PROXY</x:v>
      </x:c>
      <x:c r="K95" s="41" t="str">
        <x:v>LOGIC_PROXY:cucumber_pickled</x:v>
      </x:c>
      <x:c r="L95" s="41" t="str">
        <x:v>INTERNAL_LOGIC_PROXY_FROM_CURRENT_DB_KBJU_AND_FOOD_CLASS</x:v>
      </x:c>
      <x:c r="M95" s="41" t="str">
        <x:v>v5.3.68 product DB QA pass, 2026-07-08</x:v>
      </x:c>
      <x:c r="N95" s="41" t="str">
        <x:v>internal://nutrition-calculator/logic-proxy/v5.3.68/cucumber_pickled</x:v>
      </x:c>
      <x:c r="O95" s="41" t="str">
        <x:v>4</x:v>
      </x:c>
      <x:c r="P95" s="41" t="str">
        <x:v>added_sugar; vitamin_a_mcg; vitamin_b12_mcg; vitamin_d_mcg</x:v>
      </x:c>
      <x:c r="Q95" s="41" t="str">
        <x:v>12.0</x:v>
      </x:c>
      <x:c r="R95" s="41" t="str">
        <x:v>0.5</x:v>
      </x:c>
      <x:c r="S95" s="41" t="str">
        <x:v>0.2</x:v>
      </x:c>
      <x:c r="T95" s="41" t="str">
        <x:v>2.4</x:v>
      </x:c>
      <x:c r="U95" s="41" t="str">
        <x:v>1.2</x:v>
      </x:c>
      <x:c r="V95" s="41" t="str">
        <x:v>1208.0</x:v>
      </x:c>
      <x:c r="W95" s="41" t="str">
        <x:v>3.0683</x:v>
      </x:c>
      <x:c r="X95" s="41" t="str">
        <x:v>обязательная проверка: LOW / REVIEW_REQUIRED; предполагаемых нулей: 4; проверить корректность состояния продукта</x:v>
      </x:c>
      <x:c r="Y95" s="38" t="str">
        <x:v>NOT_REVIEWED</x:v>
      </x:c>
      <x:c r="Z95" s="38" t="str">
        <x:v>NOT_REVIEWED</x:v>
      </x:c>
      <x:c r="AA95" s="38" t="str">
        <x:v>NOT_REVIEWED</x:v>
      </x:c>
      <x:c r="AB95" s="38" t="str">
        <x:v>NOT_REVIEWED</x:v>
      </x:c>
      <x:c r="AC95" s="38" t="str">
        <x:v>NOT_REVIEWED</x:v>
      </x:c>
      <x:c r="AD95" s="38" t="str">
        <x:v>NOT_REVIEWED</x:v>
      </x:c>
      <x:c r="AE95" s="38" t="str">
        <x:v>NOT_REVIEWED</x:v>
      </x:c>
      <x:c r="AF95" s="38" t="str">
        <x:v>NOT_REVIEWED</x:v>
      </x:c>
      <x:c r="AG95" s="38" t="str">
        <x:v>NOT_REVIEWED</x:v>
      </x:c>
      <x:c r="AH95" s="41" t="str"/>
      <x:c r="AI95" s="41" t="str"/>
      <x:c r="AJ95" s="41" t="str"/>
      <x:c r="AK95" s="41" t="str"/>
      <x:c r="AL95" s="41" t="str"/>
    </x:row>
    <x:row r="96" ht="168" hidden="0" customHeight="1">
      <x:c r="A96" s="38" t="str">
        <x:v>95</x:v>
      </x:c>
      <x:c r="B96" s="38" t="str">
        <x:v>Жиры, приправы и риск-позиции</x:v>
      </x:c>
      <x:c r="C96" s="41" t="str">
        <x:v>curd_grain</x:v>
      </x:c>
      <x:c r="D96" s="41" t="str">
        <x:v>Творог зернёный (2% жирности)</x:v>
      </x:c>
      <x:c r="E96" s="41" t="str">
        <x:v>Dairy</x:v>
      </x:c>
      <x:c r="F96" s="41" t="str">
        <x:v>raw</x:v>
      </x:c>
      <x:c r="G96" s="38" t="str">
        <x:v>LOW</x:v>
      </x:c>
      <x:c r="H96" s="38" t="str">
        <x:v>0.52</x:v>
      </x:c>
      <x:c r="I96" s="38" t="str">
        <x:v>REVIEW_REQUIRED</x:v>
      </x:c>
      <x:c r="J96" s="41" t="str">
        <x:v>BORROWED_PROXY</x:v>
      </x:c>
      <x:c r="K96" s="41" t="str">
        <x:v>LOGIC_PROXY:curd_grain</x:v>
      </x:c>
      <x:c r="L96" s="41" t="str">
        <x:v>INTERNAL_LOGIC_PROXY_FROM_CURRENT_DB_KBJU_AND_FOOD_CLASS</x:v>
      </x:c>
      <x:c r="M96" s="41" t="str">
        <x:v>v5.3.68 product DB QA pass, 2026-07-08</x:v>
      </x:c>
      <x:c r="N96" s="41" t="str">
        <x:v>internal://nutrition-calculator/logic-proxy/v5.3.68/curd_grain</x:v>
      </x:c>
      <x:c r="O96" s="41" t="str">
        <x:v>4</x:v>
      </x:c>
      <x:c r="P96" s="41" t="str">
        <x:v>added_sugar; fiber_per_100g; vitamin_c_mg; vitamin_d_mcg</x:v>
      </x:c>
      <x:c r="Q96" s="41" t="str">
        <x:v>82.0</x:v>
      </x:c>
      <x:c r="R96" s="41" t="str">
        <x:v>11.0</x:v>
      </x:c>
      <x:c r="S96" s="41" t="str">
        <x:v>2.0</x:v>
      </x:c>
      <x:c r="T96" s="41" t="str">
        <x:v>3.4</x:v>
      </x:c>
      <x:c r="U96" s="41" t="str">
        <x:v>0</x:v>
      </x:c>
      <x:c r="V96" s="41" t="str">
        <x:v>232.0</x:v>
      </x:c>
      <x:c r="W96" s="41" t="str">
        <x:v>0.5893</x:v>
      </x:c>
      <x:c r="X96" s="41" t="str">
        <x:v>обязательная проверка: LOW / REVIEW_REQUIRED; предполагаемых нулей: 4; проверить корректность состояния продукта</x:v>
      </x:c>
      <x:c r="Y96" s="38" t="str">
        <x:v>NOT_REVIEWED</x:v>
      </x:c>
      <x:c r="Z96" s="38" t="str">
        <x:v>NOT_REVIEWED</x:v>
      </x:c>
      <x:c r="AA96" s="38" t="str">
        <x:v>NOT_REVIEWED</x:v>
      </x:c>
      <x:c r="AB96" s="38" t="str">
        <x:v>NOT_REVIEWED</x:v>
      </x:c>
      <x:c r="AC96" s="38" t="str">
        <x:v>NOT_REVIEWED</x:v>
      </x:c>
      <x:c r="AD96" s="38" t="str">
        <x:v>NOT_REVIEWED</x:v>
      </x:c>
      <x:c r="AE96" s="38" t="str">
        <x:v>NOT_REVIEWED</x:v>
      </x:c>
      <x:c r="AF96" s="38" t="str">
        <x:v>NOT_REVIEWED</x:v>
      </x:c>
      <x:c r="AG96" s="38" t="str">
        <x:v>NOT_REVIEWED</x:v>
      </x:c>
      <x:c r="AH96" s="41" t="str"/>
      <x:c r="AI96" s="41" t="str"/>
      <x:c r="AJ96" s="41" t="str"/>
      <x:c r="AK96" s="41" t="str"/>
      <x:c r="AL96" s="41" t="str"/>
    </x:row>
    <x:row r="97" ht="228" hidden="0" customHeight="1">
      <x:c r="A97" s="38" t="str">
        <x:v>96</x:v>
      </x:c>
      <x:c r="B97" s="38" t="str">
        <x:v>Жиры, приправы и риск-позиции</x:v>
      </x:c>
      <x:c r="C97" s="41" t="str">
        <x:v>tuna_canned_water_spp</x:v>
      </x:c>
      <x:c r="D97" s="41" t="str">
        <x:v>Тунец консервированный в воде, без жидкости</x:v>
      </x:c>
      <x:c r="E97" s="41" t="str">
        <x:v>Seafood &amp; Plant Protein</x:v>
      </x:c>
      <x:c r="F97" s="41" t="str">
        <x:v>canned</x:v>
      </x:c>
      <x:c r="G97" s="38" t="str">
        <x:v>LOW</x:v>
      </x:c>
      <x:c r="H97" s="38" t="str">
        <x:v>0.52</x:v>
      </x:c>
      <x:c r="I97" s="38" t="str">
        <x:v>REVIEW_REQUIRED</x:v>
      </x:c>
      <x:c r="J97" s="41" t="str">
        <x:v>BORROWED_PROXY</x:v>
      </x:c>
      <x:c r="K97" s="41" t="str">
        <x:v>USDA_SR_LEGACY_NDB:15121</x:v>
      </x:c>
      <x:c r="L97" s="41" t="str">
        <x:v>USDA_FOODDATA_CENTRAL_SR_LEGACY_2018</x:v>
      </x:c>
      <x:c r="M97" s="41" t="str">
        <x:v>v5.3.68 product DB QA pass, 2026-07-08</x:v>
      </x:c>
      <x:c r="N97" s="41" t="str">
        <x:v>https://fdc.nal.usda.gov/food-search/</x:v>
      </x:c>
      <x:c r="O97" s="41" t="str">
        <x:v>5</x:v>
      </x:c>
      <x:c r="P97" s="41" t="str">
        <x:v>added_sugar; carbs_per_100g; fiber_per_100g; sugar_per_100g; vitamin_c_mg</x:v>
      </x:c>
      <x:c r="Q97" s="41" t="str">
        <x:v>116.0</x:v>
      </x:c>
      <x:c r="R97" s="41" t="str">
        <x:v>26.0</x:v>
      </x:c>
      <x:c r="S97" s="41" t="str">
        <x:v>1.0</x:v>
      </x:c>
      <x:c r="T97" s="41" t="str">
        <x:v>0</x:v>
      </x:c>
      <x:c r="U97" s="41" t="str">
        <x:v>0</x:v>
      </x:c>
      <x:c r="V97" s="41" t="str">
        <x:v>102.0</x:v>
      </x:c>
      <x:c r="W97" s="41" t="str">
        <x:v>0.2591</x:v>
      </x:c>
      <x:c r="X97" s="41" t="str">
        <x:v>обязательная проверка: LOW / REVIEW_REQUIRED; предполагаемых нулей: 5; проверить дубликаты/каноническую карточку; проверить корректность состояния продукта</x:v>
      </x:c>
      <x:c r="Y97" s="38" t="str">
        <x:v>NOT_REVIEWED</x:v>
      </x:c>
      <x:c r="Z97" s="38" t="str">
        <x:v>NOT_REVIEWED</x:v>
      </x:c>
      <x:c r="AA97" s="38" t="str">
        <x:v>NOT_REVIEWED</x:v>
      </x:c>
      <x:c r="AB97" s="38" t="str">
        <x:v>NOT_REVIEWED</x:v>
      </x:c>
      <x:c r="AC97" s="38" t="str">
        <x:v>NOT_REVIEWED</x:v>
      </x:c>
      <x:c r="AD97" s="38" t="str">
        <x:v>NOT_REVIEWED</x:v>
      </x:c>
      <x:c r="AE97" s="38" t="str">
        <x:v>NOT_REVIEWED</x:v>
      </x:c>
      <x:c r="AF97" s="38" t="str">
        <x:v>NOT_REVIEWED</x:v>
      </x:c>
      <x:c r="AG97" s="38" t="str">
        <x:v>NOT_REVIEWED</x:v>
      </x:c>
      <x:c r="AH97" s="41" t="str"/>
      <x:c r="AI97" s="41" t="str"/>
      <x:c r="AJ97" s="41" t="str"/>
      <x:c r="AK97" s="41" t="str"/>
      <x:c r="AL97" s="41" t="str"/>
    </x:row>
    <x:row r="98" ht="168" hidden="0" customHeight="1">
      <x:c r="A98" s="38" t="str">
        <x:v>97</x:v>
      </x:c>
      <x:c r="B98" s="38" t="str">
        <x:v>Жиры, приправы и риск-позиции</x:v>
      </x:c>
      <x:c r="C98" s="41" t="str">
        <x:v>pickles_dill_other</x:v>
      </x:c>
      <x:c r="D98" s="41" t="str">
        <x:v>Огурцы маринованные (солёные), без рассола</x:v>
      </x:c>
      <x:c r="E98" s="41" t="str">
        <x:v>Other</x:v>
      </x:c>
      <x:c r="F98" s="41" t="str">
        <x:v>prepared</x:v>
      </x:c>
      <x:c r="G98" s="38" t="str">
        <x:v>LOW</x:v>
      </x:c>
      <x:c r="H98" s="38" t="str">
        <x:v>0.52</x:v>
      </x:c>
      <x:c r="I98" s="38" t="str">
        <x:v>REVIEW_REQUIRED</x:v>
      </x:c>
      <x:c r="J98" s="41" t="str">
        <x:v>BORROWED_PROXY</x:v>
      </x:c>
      <x:c r="K98" s="41" t="str">
        <x:v>USDA_SR_LEGACY_NDB:11937</x:v>
      </x:c>
      <x:c r="L98" s="41" t="str">
        <x:v>USDA_FOODDATA_CENTRAL_SR_LEGACY_2018</x:v>
      </x:c>
      <x:c r="M98" s="41" t="str">
        <x:v>v5.3.68 product DB QA pass, 2026-07-08</x:v>
      </x:c>
      <x:c r="N98" s="41" t="str">
        <x:v>https://fdc.nal.usda.gov/food-search/</x:v>
      </x:c>
      <x:c r="O98" s="41" t="str">
        <x:v>5</x:v>
      </x:c>
      <x:c r="P98" s="41" t="str">
        <x:v>added_sugar; sfa; unsat; vitamin_b12_mcg; vitamin_d_mcg</x:v>
      </x:c>
      <x:c r="Q98" s="41" t="str">
        <x:v>12.0</x:v>
      </x:c>
      <x:c r="R98" s="41" t="str">
        <x:v>0.5</x:v>
      </x:c>
      <x:c r="S98" s="41" t="str">
        <x:v>0.2</x:v>
      </x:c>
      <x:c r="T98" s="41" t="str">
        <x:v>2.4</x:v>
      </x:c>
      <x:c r="U98" s="41" t="str">
        <x:v>1.2</x:v>
      </x:c>
      <x:c r="V98" s="41" t="str">
        <x:v>1208.0</x:v>
      </x:c>
      <x:c r="W98" s="41" t="str">
        <x:v>3.0683</x:v>
      </x:c>
      <x:c r="X98" s="41" t="str">
        <x:v>обязательная проверка: LOW / REVIEW_REQUIRED; предполагаемых нулей: 5; проверить корректность состояния продукта</x:v>
      </x:c>
      <x:c r="Y98" s="38" t="str">
        <x:v>NOT_REVIEWED</x:v>
      </x:c>
      <x:c r="Z98" s="38" t="str">
        <x:v>NOT_REVIEWED</x:v>
      </x:c>
      <x:c r="AA98" s="38" t="str">
        <x:v>NOT_REVIEWED</x:v>
      </x:c>
      <x:c r="AB98" s="38" t="str">
        <x:v>NOT_REVIEWED</x:v>
      </x:c>
      <x:c r="AC98" s="38" t="str">
        <x:v>NOT_REVIEWED</x:v>
      </x:c>
      <x:c r="AD98" s="38" t="str">
        <x:v>NOT_REVIEWED</x:v>
      </x:c>
      <x:c r="AE98" s="38" t="str">
        <x:v>NOT_REVIEWED</x:v>
      </x:c>
      <x:c r="AF98" s="38" t="str">
        <x:v>NOT_REVIEWED</x:v>
      </x:c>
      <x:c r="AG98" s="38" t="str">
        <x:v>NOT_REVIEWED</x:v>
      </x:c>
      <x:c r="AH98" s="41" t="str"/>
      <x:c r="AI98" s="41" t="str"/>
      <x:c r="AJ98" s="41" t="str"/>
      <x:c r="AK98" s="41" t="str"/>
      <x:c r="AL98" s="41" t="str"/>
    </x:row>
    <x:row r="99" ht="156" hidden="0" customHeight="1">
      <x:c r="A99" s="38" t="str">
        <x:v>98</x:v>
      </x:c>
      <x:c r="B99" s="38" t="str">
        <x:v>Жиры, приправы и риск-позиции</x:v>
      </x:c>
      <x:c r="C99" s="41" t="str">
        <x:v>honey_other</x:v>
      </x:c>
      <x:c r="D99" s="41" t="str">
        <x:v>Мёд</x:v>
      </x:c>
      <x:c r="E99" s="41" t="str">
        <x:v>Other</x:v>
      </x:c>
      <x:c r="F99" s="41" t="str">
        <x:v>raw</x:v>
      </x:c>
      <x:c r="G99" s="38" t="str">
        <x:v>HIGH</x:v>
      </x:c>
      <x:c r="H99" s="38" t="str">
        <x:v>0.98</x:v>
      </x:c>
      <x:c r="I99" s="38" t="str">
        <x:v>VERIFIED</x:v>
      </x:c>
      <x:c r="J99" s="41" t="str">
        <x:v>PRIMARY_DATASET</x:v>
      </x:c>
      <x:c r="K99" s="41" t="str">
        <x:v>USDA_FDC_SR:169640</x:v>
      </x:c>
      <x:c r="L99" s="41" t="str">
        <x:v>USDA_FDC_SR_LEGACY_2018</x:v>
      </x:c>
      <x:c r="M99" s="41" t="str">
        <x:v>SR Legacy 04/2018</x:v>
      </x:c>
      <x:c r="N99" s="41" t="str">
        <x:v>https://fdc.nal.usda.gov/fdc-app.html#/food-details/169640/nutrients</x:v>
      </x:c>
      <x:c r="O99" s="41" t="str">
        <x:v>0</x:v>
      </x:c>
      <x:c r="P99" s="41" t="str"/>
      <x:c r="Q99" s="41" t="str">
        <x:v>304.0</x:v>
      </x:c>
      <x:c r="R99" s="41" t="str">
        <x:v>0.3</x:v>
      </x:c>
      <x:c r="S99" s="41" t="str">
        <x:v>0</x:v>
      </x:c>
      <x:c r="T99" s="41" t="str">
        <x:v>82.4</x:v>
      </x:c>
      <x:c r="U99" s="41" t="str">
        <x:v>0.2</x:v>
      </x:c>
      <x:c r="V99" s="41" t="str">
        <x:v>4.0</x:v>
      </x:c>
      <x:c r="W99" s="41" t="str">
        <x:v>0.0102</x:v>
      </x:c>
      <x:c r="X99" s="41" t="str">
        <x:v>часто используемый ингредиент или контрольная позиция; проверить корректность состояния продукта</x:v>
      </x:c>
      <x:c r="Y99" s="38" t="str">
        <x:v>NOT_REVIEWED</x:v>
      </x:c>
      <x:c r="Z99" s="38" t="str">
        <x:v>NOT_REVIEWED</x:v>
      </x:c>
      <x:c r="AA99" s="38" t="str">
        <x:v>NOT_REVIEWED</x:v>
      </x:c>
      <x:c r="AB99" s="38" t="str">
        <x:v>NOT_REVIEWED</x:v>
      </x:c>
      <x:c r="AC99" s="38" t="str">
        <x:v>NOT_REVIEWED</x:v>
      </x:c>
      <x:c r="AD99" s="38" t="str">
        <x:v>NOT_REVIEWED</x:v>
      </x:c>
      <x:c r="AE99" s="38" t="str">
        <x:v>NOT_REVIEWED</x:v>
      </x:c>
      <x:c r="AF99" s="38" t="str">
        <x:v>NOT_REVIEWED</x:v>
      </x:c>
      <x:c r="AG99" s="38" t="str">
        <x:v>NOT_REVIEWED</x:v>
      </x:c>
      <x:c r="AH99" s="41" t="str"/>
      <x:c r="AI99" s="41" t="str"/>
      <x:c r="AJ99" s="41" t="str"/>
      <x:c r="AK99" s="41" t="str"/>
      <x:c r="AL99" s="41" t="str"/>
    </x:row>
    <x:row r="100" ht="156" hidden="0" customHeight="1">
      <x:c r="A100" s="38" t="str">
        <x:v>99</x:v>
      </x:c>
      <x:c r="B100" s="38" t="str">
        <x:v>Жиры, приправы и риск-позиции</x:v>
      </x:c>
      <x:c r="C100" s="41" t="str">
        <x:v>mayonnaise_classic_other</x:v>
      </x:c>
      <x:c r="D100" s="41" t="str">
        <x:v>Майонез, классический</x:v>
      </x:c>
      <x:c r="E100" s="41" t="str">
        <x:v>Other</x:v>
      </x:c>
      <x:c r="F100" s="41" t="str">
        <x:v>prepared</x:v>
      </x:c>
      <x:c r="G100" s="38" t="str">
        <x:v>HIGH</x:v>
      </x:c>
      <x:c r="H100" s="38" t="str">
        <x:v>0.98</x:v>
      </x:c>
      <x:c r="I100" s="38" t="str">
        <x:v>VERIFIED</x:v>
      </x:c>
      <x:c r="J100" s="41" t="str">
        <x:v>PRIMARY_DATASET</x:v>
      </x:c>
      <x:c r="K100" s="41" t="str">
        <x:v>USDA_FDC_SR:171009</x:v>
      </x:c>
      <x:c r="L100" s="41" t="str">
        <x:v>USDA_FDC_SR_LEGACY_2018</x:v>
      </x:c>
      <x:c r="M100" s="41" t="str">
        <x:v>SR Legacy 04/2018</x:v>
      </x:c>
      <x:c r="N100" s="41" t="str">
        <x:v>https://fdc.nal.usda.gov/fdc-app.html#/food-details/171009/nutrients</x:v>
      </x:c>
      <x:c r="O100" s="41" t="str">
        <x:v>0</x:v>
      </x:c>
      <x:c r="P100" s="41" t="str"/>
      <x:c r="Q100" s="41" t="str">
        <x:v>680.0</x:v>
      </x:c>
      <x:c r="R100" s="41" t="str">
        <x:v>0.96</x:v>
      </x:c>
      <x:c r="S100" s="41" t="str">
        <x:v>74.8</x:v>
      </x:c>
      <x:c r="T100" s="41" t="str">
        <x:v>0.57</x:v>
      </x:c>
      <x:c r="U100" s="41" t="str">
        <x:v>0</x:v>
      </x:c>
      <x:c r="V100" s="41" t="str">
        <x:v>635.0</x:v>
      </x:c>
      <x:c r="W100" s="41" t="str">
        <x:v>1.6129</x:v>
      </x:c>
      <x:c r="X100" s="41" t="str">
        <x:v>часто используемый ингредиент или контрольная позиция; проверить корректность состояния продукта</x:v>
      </x:c>
      <x:c r="Y100" s="38" t="str">
        <x:v>NOT_REVIEWED</x:v>
      </x:c>
      <x:c r="Z100" s="38" t="str">
        <x:v>NOT_REVIEWED</x:v>
      </x:c>
      <x:c r="AA100" s="38" t="str">
        <x:v>NOT_REVIEWED</x:v>
      </x:c>
      <x:c r="AB100" s="38" t="str">
        <x:v>NOT_REVIEWED</x:v>
      </x:c>
      <x:c r="AC100" s="38" t="str">
        <x:v>NOT_REVIEWED</x:v>
      </x:c>
      <x:c r="AD100" s="38" t="str">
        <x:v>NOT_REVIEWED</x:v>
      </x:c>
      <x:c r="AE100" s="38" t="str">
        <x:v>NOT_REVIEWED</x:v>
      </x:c>
      <x:c r="AF100" s="38" t="str">
        <x:v>NOT_REVIEWED</x:v>
      </x:c>
      <x:c r="AG100" s="38" t="str">
        <x:v>NOT_REVIEWED</x:v>
      </x:c>
      <x:c r="AH100" s="41" t="str"/>
      <x:c r="AI100" s="41" t="str"/>
      <x:c r="AJ100" s="41" t="str"/>
      <x:c r="AK100" s="41" t="str"/>
      <x:c r="AL100" s="41" t="str"/>
    </x:row>
    <x:row r="101" ht="156" hidden="0" customHeight="1">
      <x:c r="A101" s="38" t="str">
        <x:v>100</x:v>
      </x:c>
      <x:c r="B101" s="38" t="str">
        <x:v>Жиры, приправы и риск-позиции</x:v>
      </x:c>
      <x:c r="C101" s="41" t="str">
        <x:v>dark_chocolate_70_other</x:v>
      </x:c>
      <x:c r="D101" s="41" t="str">
        <x:v>Шоколад тёмный (70% какао)</x:v>
      </x:c>
      <x:c r="E101" s="41" t="str">
        <x:v>Other</x:v>
      </x:c>
      <x:c r="F101" s="41" t="str">
        <x:v>prepared</x:v>
      </x:c>
      <x:c r="G101" s="38" t="str">
        <x:v>HIGH</x:v>
      </x:c>
      <x:c r="H101" s="38" t="str">
        <x:v>0.98</x:v>
      </x:c>
      <x:c r="I101" s="38" t="str">
        <x:v>VERIFIED</x:v>
      </x:c>
      <x:c r="J101" s="41" t="str">
        <x:v>PRIMARY_DATASET</x:v>
      </x:c>
      <x:c r="K101" s="41" t="str">
        <x:v>USDA_FDC:170273</x:v>
      </x:c>
      <x:c r="L101" s="41" t="str">
        <x:v>USDA_FDC_SR_LEGACY_2018_04</x:v>
      </x:c>
      <x:c r="M101" s="41" t="str">
        <x:v>uploaded FoodData Central JSON, local QA pass v5.3.68</x:v>
      </x:c>
      <x:c r="N101" s="41" t="str">
        <x:v>https://fdc.nal.usda.gov/fdc-app.html#/food-details/170273/nutrients</x:v>
      </x:c>
      <x:c r="O101" s="41" t="str">
        <x:v>0</x:v>
      </x:c>
      <x:c r="P101" s="41" t="str"/>
      <x:c r="Q101" s="41" t="str">
        <x:v>598.0</x:v>
      </x:c>
      <x:c r="R101" s="41" t="str">
        <x:v>7.79</x:v>
      </x:c>
      <x:c r="S101" s="41" t="str">
        <x:v>42.6</x:v>
      </x:c>
      <x:c r="T101" s="41" t="str">
        <x:v>45.9</x:v>
      </x:c>
      <x:c r="U101" s="41" t="str">
        <x:v>10.9</x:v>
      </x:c>
      <x:c r="V101" s="41" t="str">
        <x:v>20.0</x:v>
      </x:c>
      <x:c r="W101" s="41" t="str">
        <x:v>0.0508</x:v>
      </x:c>
      <x:c r="X101" s="41" t="str">
        <x:v>часто используемый ингредиент или контрольная позиция; проверить корректность состояния продукта</x:v>
      </x:c>
      <x:c r="Y101" s="38" t="str">
        <x:v>NOT_REVIEWED</x:v>
      </x:c>
      <x:c r="Z101" s="38" t="str">
        <x:v>NOT_REVIEWED</x:v>
      </x:c>
      <x:c r="AA101" s="38" t="str">
        <x:v>NOT_REVIEWED</x:v>
      </x:c>
      <x:c r="AB101" s="38" t="str">
        <x:v>NOT_REVIEWED</x:v>
      </x:c>
      <x:c r="AC101" s="38" t="str">
        <x:v>NOT_REVIEWED</x:v>
      </x:c>
      <x:c r="AD101" s="38" t="str">
        <x:v>NOT_REVIEWED</x:v>
      </x:c>
      <x:c r="AE101" s="38" t="str">
        <x:v>NOT_REVIEWED</x:v>
      </x:c>
      <x:c r="AF101" s="38" t="str">
        <x:v>NOT_REVIEWED</x:v>
      </x:c>
      <x:c r="AG101" s="38" t="str">
        <x:v>NOT_REVIEWED</x:v>
      </x:c>
      <x:c r="AH101" s="41" t="str"/>
      <x:c r="AI101" s="41" t="str"/>
      <x:c r="AJ101" s="41" t="str"/>
      <x:c r="AK101" s="41" t="str"/>
      <x:c r="AL101" s="41" t="str"/>
    </x:row>
  </x:sheetData>
  <x:conditionalFormatting sqref="G2:G101">
    <x:cfRule type="expression" dxfId="6" priority="1">
      <x:formula>G2="LOW"</x:formula>
    </x:cfRule>
    <x:cfRule type="expression" dxfId="7" priority="2">
      <x:formula>G2="MEDIUM"</x:formula>
    </x:cfRule>
    <x:cfRule type="expression" dxfId="8" priority="3">
      <x:formula>G2="HIGH"</x:formula>
    </x:cfRule>
  </x:conditionalFormatting>
  <x:dataValidations count="10">
    <x:dataValidation type="list" sqref="Y2:Y101">
      <x:formula1>"NOT_REVIEWED,PASS,FAIL,NOT_APPLICABLE"</x:formula1>
    </x:dataValidation>
    <x:dataValidation type="list" sqref="Z2:Z101">
      <x:formula1>"NOT_REVIEWED,PASS,FAIL,NOT_APPLICABLE"</x:formula1>
    </x:dataValidation>
    <x:dataValidation type="list" sqref="AA2:AA101">
      <x:formula1>"NOT_REVIEWED,PASS,FAIL,NOT_APPLICABLE"</x:formula1>
    </x:dataValidation>
    <x:dataValidation type="list" sqref="AB2:AB101">
      <x:formula1>"NOT_REVIEWED,PASS,FAIL,NOT_APPLICABLE"</x:formula1>
    </x:dataValidation>
    <x:dataValidation type="list" sqref="AC2:AC101">
      <x:formula1>"NOT_REVIEWED,PASS,FAIL,NOT_APPLICABLE"</x:formula1>
    </x:dataValidation>
    <x:dataValidation type="list" sqref="AD2:AD101">
      <x:formula1>"NOT_REVIEWED,PASS,FAIL,NOT_APPLICABLE"</x:formula1>
    </x:dataValidation>
    <x:dataValidation type="list" sqref="AE2:AE101">
      <x:formula1>"NOT_REVIEWED,PASS,FAIL,NOT_APPLICABLE"</x:formula1>
    </x:dataValidation>
    <x:dataValidation type="list" sqref="AF2:AF101">
      <x:formula1>"NOT_REVIEWED,PASS,FAIL,NOT_APPLICABLE"</x:formula1>
    </x:dataValidation>
    <x:dataValidation type="list" sqref="AG2:AG101">
      <x:formula1>"NOT_REVIEWED,IN_PROGRESS,REVIEWED,BLOCKED"</x:formula1>
    </x:dataValidation>
    <x:dataValidation type="list" sqref="AK2:AK101">
      <x:formula1>",ACCEPT,ACCEPT_WITH_LIMITATION,REPLACE_SOURCE,RECALCULATE,MERGE_DUPLICATE,HIDE_FROM_SEARCH,REJECT"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bdbd0413a345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 ht="15" hidden="0" customHeight="1">
      <x:c r="A1" s="37" t="str">
        <x:v>session_id</x:v>
      </x:c>
      <x:c r="B1" s="37" t="str">
        <x:v>track</x:v>
      </x:c>
      <x:c r="C1" s="37" t="str">
        <x:v>query_normalized</x:v>
      </x:c>
      <x:c r="D1" s="37" t="str">
        <x:v>result_clicked_key</x:v>
      </x:c>
      <x:c r="E1" s="37" t="str">
        <x:v>result_rank</x:v>
      </x:c>
      <x:c r="F1" s="37" t="str">
        <x:v>found_expected_product</x:v>
      </x:c>
      <x:c r="G1" s="37" t="str">
        <x:v>reformulated_query</x:v>
      </x:c>
      <x:c r="H1" s="37" t="str">
        <x:v>time_to_first_click_sec</x:v>
      </x:c>
      <x:c r="I1" s="37" t="str">
        <x:v>notes</x:v>
      </x:c>
    </x:row>
    <x:row r="2" ht="15" hidden="0" customHeight="1">
      <x:c r="A2" s="38" t="str"/>
      <x:c r="B2" s="38" t="str"/>
      <x:c r="C2" s="38" t="str"/>
      <x:c r="D2" s="38" t="str"/>
      <x:c r="E2" s="38" t="str"/>
      <x:c r="F2" s="38" t="str"/>
      <x:c r="G2" s="38" t="str"/>
      <x:c r="H2" s="38" t="str"/>
      <x:c r="I2" s="41" t="str"/>
    </x:row>
    <x:row r="3" ht="15" hidden="0" customHeight="1">
      <x:c r="A3" s="38" t="str"/>
      <x:c r="B3" s="38" t="str"/>
      <x:c r="C3" s="38" t="str"/>
      <x:c r="D3" s="38" t="str"/>
      <x:c r="E3" s="38" t="str"/>
      <x:c r="F3" s="38" t="str"/>
      <x:c r="G3" s="38" t="str"/>
      <x:c r="H3" s="38" t="str"/>
      <x:c r="I3" s="41" t="str"/>
    </x:row>
    <x:row r="4" ht="15" hidden="0" customHeight="1">
      <x:c r="A4" s="38" t="str"/>
      <x:c r="B4" s="38" t="str"/>
      <x:c r="C4" s="38" t="str"/>
      <x:c r="D4" s="38" t="str"/>
      <x:c r="E4" s="38" t="str"/>
      <x:c r="F4" s="38" t="str"/>
      <x:c r="G4" s="38" t="str"/>
      <x:c r="H4" s="38" t="str"/>
      <x:c r="I4" s="41" t="str"/>
    </x:row>
    <x:row r="5" ht="15" hidden="0" customHeight="1">
      <x:c r="A5" s="38" t="str"/>
      <x:c r="B5" s="38" t="str"/>
      <x:c r="C5" s="38" t="str"/>
      <x:c r="D5" s="38" t="str"/>
      <x:c r="E5" s="38" t="str"/>
      <x:c r="F5" s="38" t="str"/>
      <x:c r="G5" s="38" t="str"/>
      <x:c r="H5" s="38" t="str"/>
      <x:c r="I5" s="41" t="str"/>
    </x:row>
    <x:row r="6" ht="15" hidden="0" customHeight="1">
      <x:c r="A6" s="38" t="str"/>
      <x:c r="B6" s="38" t="str"/>
      <x:c r="C6" s="38" t="str"/>
      <x:c r="D6" s="38" t="str"/>
      <x:c r="E6" s="38" t="str"/>
      <x:c r="F6" s="38" t="str"/>
      <x:c r="G6" s="38" t="str"/>
      <x:c r="H6" s="38" t="str"/>
      <x:c r="I6" s="41" t="str"/>
    </x:row>
    <x:row r="7" ht="15" hidden="0" customHeight="1">
      <x:c r="A7" s="38" t="str"/>
      <x:c r="B7" s="38" t="str"/>
      <x:c r="C7" s="38" t="str"/>
      <x:c r="D7" s="38" t="str"/>
      <x:c r="E7" s="38" t="str"/>
      <x:c r="F7" s="38" t="str"/>
      <x:c r="G7" s="38" t="str"/>
      <x:c r="H7" s="38" t="str"/>
      <x:c r="I7" s="41" t="str"/>
    </x:row>
    <x:row r="8" ht="15" hidden="0" customHeight="1">
      <x:c r="A8" s="38" t="str"/>
      <x:c r="B8" s="38" t="str"/>
      <x:c r="C8" s="38" t="str"/>
      <x:c r="D8" s="38" t="str"/>
      <x:c r="E8" s="38" t="str"/>
      <x:c r="F8" s="38" t="str"/>
      <x:c r="G8" s="38" t="str"/>
      <x:c r="H8" s="38" t="str"/>
      <x:c r="I8" s="41" t="str"/>
    </x:row>
    <x:row r="9" ht="15" hidden="0" customHeight="1">
      <x:c r="A9" s="38" t="str"/>
      <x:c r="B9" s="38" t="str"/>
      <x:c r="C9" s="38" t="str"/>
      <x:c r="D9" s="38" t="str"/>
      <x:c r="E9" s="38" t="str"/>
      <x:c r="F9" s="38" t="str"/>
      <x:c r="G9" s="38" t="str"/>
      <x:c r="H9" s="38" t="str"/>
      <x:c r="I9" s="41" t="str"/>
    </x:row>
    <x:row r="10" ht="15" hidden="0" customHeight="1">
      <x:c r="A10" s="38" t="str"/>
      <x:c r="B10" s="38" t="str"/>
      <x:c r="C10" s="38" t="str"/>
      <x:c r="D10" s="38" t="str"/>
      <x:c r="E10" s="38" t="str"/>
      <x:c r="F10" s="38" t="str"/>
      <x:c r="G10" s="38" t="str"/>
      <x:c r="H10" s="38" t="str"/>
      <x:c r="I10" s="41" t="str"/>
    </x:row>
    <x:row r="11" ht="15" hidden="0" customHeight="1">
      <x:c r="A11" s="38" t="str"/>
      <x:c r="B11" s="38" t="str"/>
      <x:c r="C11" s="38" t="str"/>
      <x:c r="D11" s="38" t="str"/>
      <x:c r="E11" s="38" t="str"/>
      <x:c r="F11" s="38" t="str"/>
      <x:c r="G11" s="38" t="str"/>
      <x:c r="H11" s="38" t="str"/>
      <x:c r="I11" s="41" t="str"/>
    </x:row>
    <x:row r="12" ht="15" hidden="0" customHeight="1">
      <x:c r="A12" s="38" t="str"/>
      <x:c r="B12" s="38" t="str"/>
      <x:c r="C12" s="38" t="str"/>
      <x:c r="D12" s="38" t="str"/>
      <x:c r="E12" s="38" t="str"/>
      <x:c r="F12" s="38" t="str"/>
      <x:c r="G12" s="38" t="str"/>
      <x:c r="H12" s="38" t="str"/>
      <x:c r="I12" s="41" t="str"/>
    </x:row>
    <x:row r="13" ht="15" hidden="0" customHeight="1">
      <x:c r="A13" s="38" t="str"/>
      <x:c r="B13" s="38" t="str"/>
      <x:c r="C13" s="38" t="str"/>
      <x:c r="D13" s="38" t="str"/>
      <x:c r="E13" s="38" t="str"/>
      <x:c r="F13" s="38" t="str"/>
      <x:c r="G13" s="38" t="str"/>
      <x:c r="H13" s="38" t="str"/>
      <x:c r="I13" s="41" t="str"/>
    </x:row>
    <x:row r="14" ht="15" hidden="0" customHeight="1">
      <x:c r="A14" s="38" t="str"/>
      <x:c r="B14" s="38" t="str"/>
      <x:c r="C14" s="38" t="str"/>
      <x:c r="D14" s="38" t="str"/>
      <x:c r="E14" s="38" t="str"/>
      <x:c r="F14" s="38" t="str"/>
      <x:c r="G14" s="38" t="str"/>
      <x:c r="H14" s="38" t="str"/>
      <x:c r="I14" s="41" t="str"/>
    </x:row>
    <x:row r="15" ht="15" hidden="0" customHeight="1">
      <x:c r="A15" s="38" t="str"/>
      <x:c r="B15" s="38" t="str"/>
      <x:c r="C15" s="38" t="str"/>
      <x:c r="D15" s="38" t="str"/>
      <x:c r="E15" s="38" t="str"/>
      <x:c r="F15" s="38" t="str"/>
      <x:c r="G15" s="38" t="str"/>
      <x:c r="H15" s="38" t="str"/>
      <x:c r="I15" s="41" t="str"/>
    </x:row>
    <x:row r="16" ht="15" hidden="0" customHeight="1">
      <x:c r="A16" s="38" t="str"/>
      <x:c r="B16" s="38" t="str"/>
      <x:c r="C16" s="38" t="str"/>
      <x:c r="D16" s="38" t="str"/>
      <x:c r="E16" s="38" t="str"/>
      <x:c r="F16" s="38" t="str"/>
      <x:c r="G16" s="38" t="str"/>
      <x:c r="H16" s="38" t="str"/>
      <x:c r="I16" s="41" t="str"/>
    </x:row>
    <x:row r="17" ht="15" hidden="0" customHeight="1">
      <x:c r="A17" s="38" t="str"/>
      <x:c r="B17" s="38" t="str"/>
      <x:c r="C17" s="38" t="str"/>
      <x:c r="D17" s="38" t="str"/>
      <x:c r="E17" s="38" t="str"/>
      <x:c r="F17" s="38" t="str"/>
      <x:c r="G17" s="38" t="str"/>
      <x:c r="H17" s="38" t="str"/>
      <x:c r="I17" s="41" t="str"/>
    </x:row>
    <x:row r="18" ht="15" hidden="0" customHeight="1">
      <x:c r="A18" s="38" t="str"/>
      <x:c r="B18" s="38" t="str"/>
      <x:c r="C18" s="38" t="str"/>
      <x:c r="D18" s="38" t="str"/>
      <x:c r="E18" s="38" t="str"/>
      <x:c r="F18" s="38" t="str"/>
      <x:c r="G18" s="38" t="str"/>
      <x:c r="H18" s="38" t="str"/>
      <x:c r="I18" s="41" t="str"/>
    </x:row>
    <x:row r="19" ht="15" hidden="0" customHeight="1">
      <x:c r="A19" s="38" t="str"/>
      <x:c r="B19" s="38" t="str"/>
      <x:c r="C19" s="38" t="str"/>
      <x:c r="D19" s="38" t="str"/>
      <x:c r="E19" s="38" t="str"/>
      <x:c r="F19" s="38" t="str"/>
      <x:c r="G19" s="38" t="str"/>
      <x:c r="H19" s="38" t="str"/>
      <x:c r="I19" s="41" t="str"/>
    </x:row>
    <x:row r="20" ht="15" hidden="0" customHeight="1">
      <x:c r="A20" s="38" t="str"/>
      <x:c r="B20" s="38" t="str"/>
      <x:c r="C20" s="38" t="str"/>
      <x:c r="D20" s="38" t="str"/>
      <x:c r="E20" s="38" t="str"/>
      <x:c r="F20" s="38" t="str"/>
      <x:c r="G20" s="38" t="str"/>
      <x:c r="H20" s="38" t="str"/>
      <x:c r="I20" s="41" t="str"/>
    </x:row>
    <x:row r="21" ht="15" hidden="0" customHeight="1">
      <x:c r="A21" s="38" t="str"/>
      <x:c r="B21" s="38" t="str"/>
      <x:c r="C21" s="38" t="str"/>
      <x:c r="D21" s="38" t="str"/>
      <x:c r="E21" s="38" t="str"/>
      <x:c r="F21" s="38" t="str"/>
      <x:c r="G21" s="38" t="str"/>
      <x:c r="H21" s="38" t="str"/>
      <x:c r="I21" s="41" t="str"/>
    </x:row>
    <x:row r="22" ht="15" hidden="0" customHeight="1">
      <x:c r="A22" s="38" t="str"/>
      <x:c r="B22" s="38" t="str"/>
      <x:c r="C22" s="38" t="str"/>
      <x:c r="D22" s="38" t="str"/>
      <x:c r="E22" s="38" t="str"/>
      <x:c r="F22" s="38" t="str"/>
      <x:c r="G22" s="38" t="str"/>
      <x:c r="H22" s="38" t="str"/>
      <x:c r="I22" s="41" t="str"/>
    </x:row>
    <x:row r="23" ht="15" hidden="0" customHeight="1">
      <x:c r="A23" s="38" t="str"/>
      <x:c r="B23" s="38" t="str"/>
      <x:c r="C23" s="38" t="str"/>
      <x:c r="D23" s="38" t="str"/>
      <x:c r="E23" s="38" t="str"/>
      <x:c r="F23" s="38" t="str"/>
      <x:c r="G23" s="38" t="str"/>
      <x:c r="H23" s="38" t="str"/>
      <x:c r="I23" s="41" t="str"/>
    </x:row>
    <x:row r="24" ht="15" hidden="0" customHeight="1">
      <x:c r="A24" s="38" t="str"/>
      <x:c r="B24" s="38" t="str"/>
      <x:c r="C24" s="38" t="str"/>
      <x:c r="D24" s="38" t="str"/>
      <x:c r="E24" s="38" t="str"/>
      <x:c r="F24" s="38" t="str"/>
      <x:c r="G24" s="38" t="str"/>
      <x:c r="H24" s="38" t="str"/>
      <x:c r="I24" s="41" t="str"/>
    </x:row>
    <x:row r="25" ht="15" hidden="0" customHeight="1">
      <x:c r="A25" s="38" t="str"/>
      <x:c r="B25" s="38" t="str"/>
      <x:c r="C25" s="38" t="str"/>
      <x:c r="D25" s="38" t="str"/>
      <x:c r="E25" s="38" t="str"/>
      <x:c r="F25" s="38" t="str"/>
      <x:c r="G25" s="38" t="str"/>
      <x:c r="H25" s="38" t="str"/>
      <x:c r="I25" s="41" t="str"/>
    </x:row>
    <x:row r="26" ht="15" hidden="0" customHeight="1">
      <x:c r="A26" s="38" t="str"/>
      <x:c r="B26" s="38" t="str"/>
      <x:c r="C26" s="38" t="str"/>
      <x:c r="D26" s="38" t="str"/>
      <x:c r="E26" s="38" t="str"/>
      <x:c r="F26" s="38" t="str"/>
      <x:c r="G26" s="38" t="str"/>
      <x:c r="H26" s="38" t="str"/>
      <x:c r="I26" s="41" t="str"/>
    </x:row>
    <x:row r="27" ht="15" hidden="0" customHeight="1">
      <x:c r="A27" s="38" t="str"/>
      <x:c r="B27" s="38" t="str"/>
      <x:c r="C27" s="38" t="str"/>
      <x:c r="D27" s="38" t="str"/>
      <x:c r="E27" s="38" t="str"/>
      <x:c r="F27" s="38" t="str"/>
      <x:c r="G27" s="38" t="str"/>
      <x:c r="H27" s="38" t="str"/>
      <x:c r="I27" s="41" t="str"/>
    </x:row>
    <x:row r="28" ht="15" hidden="0" customHeight="1">
      <x:c r="A28" s="38" t="str"/>
      <x:c r="B28" s="38" t="str"/>
      <x:c r="C28" s="38" t="str"/>
      <x:c r="D28" s="38" t="str"/>
      <x:c r="E28" s="38" t="str"/>
      <x:c r="F28" s="38" t="str"/>
      <x:c r="G28" s="38" t="str"/>
      <x:c r="H28" s="38" t="str"/>
      <x:c r="I28" s="41" t="str"/>
    </x:row>
    <x:row r="29" ht="15" hidden="0" customHeight="1">
      <x:c r="A29" s="38" t="str"/>
      <x:c r="B29" s="38" t="str"/>
      <x:c r="C29" s="38" t="str"/>
      <x:c r="D29" s="38" t="str"/>
      <x:c r="E29" s="38" t="str"/>
      <x:c r="F29" s="38" t="str"/>
      <x:c r="G29" s="38" t="str"/>
      <x:c r="H29" s="38" t="str"/>
      <x:c r="I29" s="41" t="str"/>
    </x:row>
    <x:row r="30" ht="15" hidden="0" customHeight="1">
      <x:c r="A30" s="38" t="str"/>
      <x:c r="B30" s="38" t="str"/>
      <x:c r="C30" s="38" t="str"/>
      <x:c r="D30" s="38" t="str"/>
      <x:c r="E30" s="38" t="str"/>
      <x:c r="F30" s="38" t="str"/>
      <x:c r="G30" s="38" t="str"/>
      <x:c r="H30" s="38" t="str"/>
      <x:c r="I30" s="41" t="str"/>
    </x:row>
    <x:row r="31" ht="15" hidden="0" customHeight="1">
      <x:c r="A31" s="38" t="str"/>
      <x:c r="B31" s="38" t="str"/>
      <x:c r="C31" s="38" t="str"/>
      <x:c r="D31" s="38" t="str"/>
      <x:c r="E31" s="38" t="str"/>
      <x:c r="F31" s="38" t="str"/>
      <x:c r="G31" s="38" t="str"/>
      <x:c r="H31" s="38" t="str"/>
      <x:c r="I31" s="41" t="str"/>
    </x:row>
    <x:row r="32" ht="15" hidden="0" customHeight="1">
      <x:c r="A32" s="38" t="str"/>
      <x:c r="B32" s="38" t="str"/>
      <x:c r="C32" s="38" t="str"/>
      <x:c r="D32" s="38" t="str"/>
      <x:c r="E32" s="38" t="str"/>
      <x:c r="F32" s="38" t="str"/>
      <x:c r="G32" s="38" t="str"/>
      <x:c r="H32" s="38" t="str"/>
      <x:c r="I32" s="41" t="str"/>
    </x:row>
    <x:row r="33" ht="15" hidden="0" customHeight="1">
      <x:c r="A33" s="38" t="str"/>
      <x:c r="B33" s="38" t="str"/>
      <x:c r="C33" s="38" t="str"/>
      <x:c r="D33" s="38" t="str"/>
      <x:c r="E33" s="38" t="str"/>
      <x:c r="F33" s="38" t="str"/>
      <x:c r="G33" s="38" t="str"/>
      <x:c r="H33" s="38" t="str"/>
      <x:c r="I33" s="41" t="str"/>
    </x:row>
    <x:row r="34" ht="15" hidden="0" customHeight="1">
      <x:c r="A34" s="38" t="str"/>
      <x:c r="B34" s="38" t="str"/>
      <x:c r="C34" s="38" t="str"/>
      <x:c r="D34" s="38" t="str"/>
      <x:c r="E34" s="38" t="str"/>
      <x:c r="F34" s="38" t="str"/>
      <x:c r="G34" s="38" t="str"/>
      <x:c r="H34" s="38" t="str"/>
      <x:c r="I34" s="41" t="str"/>
    </x:row>
    <x:row r="35" ht="15" hidden="0" customHeight="1">
      <x:c r="A35" s="38" t="str"/>
      <x:c r="B35" s="38" t="str"/>
      <x:c r="C35" s="38" t="str"/>
      <x:c r="D35" s="38" t="str"/>
      <x:c r="E35" s="38" t="str"/>
      <x:c r="F35" s="38" t="str"/>
      <x:c r="G35" s="38" t="str"/>
      <x:c r="H35" s="38" t="str"/>
      <x:c r="I35" s="41" t="str"/>
    </x:row>
    <x:row r="36" ht="15" hidden="0" customHeight="1">
      <x:c r="A36" s="38" t="str"/>
      <x:c r="B36" s="38" t="str"/>
      <x:c r="C36" s="38" t="str"/>
      <x:c r="D36" s="38" t="str"/>
      <x:c r="E36" s="38" t="str"/>
      <x:c r="F36" s="38" t="str"/>
      <x:c r="G36" s="38" t="str"/>
      <x:c r="H36" s="38" t="str"/>
      <x:c r="I36" s="41" t="str"/>
    </x:row>
    <x:row r="37" ht="15" hidden="0" customHeight="1">
      <x:c r="A37" s="38" t="str"/>
      <x:c r="B37" s="38" t="str"/>
      <x:c r="C37" s="38" t="str"/>
      <x:c r="D37" s="38" t="str"/>
      <x:c r="E37" s="38" t="str"/>
      <x:c r="F37" s="38" t="str"/>
      <x:c r="G37" s="38" t="str"/>
      <x:c r="H37" s="38" t="str"/>
      <x:c r="I37" s="41" t="str"/>
    </x:row>
    <x:row r="38" ht="15" hidden="0" customHeight="1">
      <x:c r="A38" s="38" t="str"/>
      <x:c r="B38" s="38" t="str"/>
      <x:c r="C38" s="38" t="str"/>
      <x:c r="D38" s="38" t="str"/>
      <x:c r="E38" s="38" t="str"/>
      <x:c r="F38" s="38" t="str"/>
      <x:c r="G38" s="38" t="str"/>
      <x:c r="H38" s="38" t="str"/>
      <x:c r="I38" s="41" t="str"/>
    </x:row>
    <x:row r="39" ht="15" hidden="0" customHeight="1">
      <x:c r="A39" s="38" t="str"/>
      <x:c r="B39" s="38" t="str"/>
      <x:c r="C39" s="38" t="str"/>
      <x:c r="D39" s="38" t="str"/>
      <x:c r="E39" s="38" t="str"/>
      <x:c r="F39" s="38" t="str"/>
      <x:c r="G39" s="38" t="str"/>
      <x:c r="H39" s="38" t="str"/>
      <x:c r="I39" s="41" t="str"/>
    </x:row>
    <x:row r="40" ht="15" hidden="0" customHeight="1">
      <x:c r="A40" s="38" t="str"/>
      <x:c r="B40" s="38" t="str"/>
      <x:c r="C40" s="38" t="str"/>
      <x:c r="D40" s="38" t="str"/>
      <x:c r="E40" s="38" t="str"/>
      <x:c r="F40" s="38" t="str"/>
      <x:c r="G40" s="38" t="str"/>
      <x:c r="H40" s="38" t="str"/>
      <x:c r="I40" s="41" t="str"/>
    </x:row>
    <x:row r="41" ht="15" hidden="0" customHeight="1">
      <x:c r="A41" s="38" t="str"/>
      <x:c r="B41" s="38" t="str"/>
      <x:c r="C41" s="38" t="str"/>
      <x:c r="D41" s="38" t="str"/>
      <x:c r="E41" s="38" t="str"/>
      <x:c r="F41" s="38" t="str"/>
      <x:c r="G41" s="38" t="str"/>
      <x:c r="H41" s="38" t="str"/>
      <x:c r="I41" s="41" t="str"/>
    </x:row>
    <x:row r="42" ht="15" hidden="0" customHeight="1">
      <x:c r="A42" s="38" t="str"/>
      <x:c r="B42" s="38" t="str"/>
      <x:c r="C42" s="38" t="str"/>
      <x:c r="D42" s="38" t="str"/>
      <x:c r="E42" s="38" t="str"/>
      <x:c r="F42" s="38" t="str"/>
      <x:c r="G42" s="38" t="str"/>
      <x:c r="H42" s="38" t="str"/>
      <x:c r="I42" s="41" t="str"/>
    </x:row>
    <x:row r="43" ht="15" hidden="0" customHeight="1">
      <x:c r="A43" s="38" t="str"/>
      <x:c r="B43" s="38" t="str"/>
      <x:c r="C43" s="38" t="str"/>
      <x:c r="D43" s="38" t="str"/>
      <x:c r="E43" s="38" t="str"/>
      <x:c r="F43" s="38" t="str"/>
      <x:c r="G43" s="38" t="str"/>
      <x:c r="H43" s="38" t="str"/>
      <x:c r="I43" s="41" t="str"/>
    </x:row>
    <x:row r="44" ht="15" hidden="0" customHeight="1">
      <x:c r="A44" s="38" t="str"/>
      <x:c r="B44" s="38" t="str"/>
      <x:c r="C44" s="38" t="str"/>
      <x:c r="D44" s="38" t="str"/>
      <x:c r="E44" s="38" t="str"/>
      <x:c r="F44" s="38" t="str"/>
      <x:c r="G44" s="38" t="str"/>
      <x:c r="H44" s="38" t="str"/>
      <x:c r="I44" s="41" t="str"/>
    </x:row>
    <x:row r="45" ht="15" hidden="0" customHeight="1">
      <x:c r="A45" s="38" t="str"/>
      <x:c r="B45" s="38" t="str"/>
      <x:c r="C45" s="38" t="str"/>
      <x:c r="D45" s="38" t="str"/>
      <x:c r="E45" s="38" t="str"/>
      <x:c r="F45" s="38" t="str"/>
      <x:c r="G45" s="38" t="str"/>
      <x:c r="H45" s="38" t="str"/>
      <x:c r="I45" s="41" t="str"/>
    </x:row>
    <x:row r="46" ht="15" hidden="0" customHeight="1">
      <x:c r="A46" s="38" t="str"/>
      <x:c r="B46" s="38" t="str"/>
      <x:c r="C46" s="38" t="str"/>
      <x:c r="D46" s="38" t="str"/>
      <x:c r="E46" s="38" t="str"/>
      <x:c r="F46" s="38" t="str"/>
      <x:c r="G46" s="38" t="str"/>
      <x:c r="H46" s="38" t="str"/>
      <x:c r="I46" s="41" t="str"/>
    </x:row>
    <x:row r="47" ht="15" hidden="0" customHeight="1">
      <x:c r="A47" s="38" t="str"/>
      <x:c r="B47" s="38" t="str"/>
      <x:c r="C47" s="38" t="str"/>
      <x:c r="D47" s="38" t="str"/>
      <x:c r="E47" s="38" t="str"/>
      <x:c r="F47" s="38" t="str"/>
      <x:c r="G47" s="38" t="str"/>
      <x:c r="H47" s="38" t="str"/>
      <x:c r="I47" s="41" t="str"/>
    </x:row>
    <x:row r="48" ht="15" hidden="0" customHeight="1">
      <x:c r="A48" s="38" t="str"/>
      <x:c r="B48" s="38" t="str"/>
      <x:c r="C48" s="38" t="str"/>
      <x:c r="D48" s="38" t="str"/>
      <x:c r="E48" s="38" t="str"/>
      <x:c r="F48" s="38" t="str"/>
      <x:c r="G48" s="38" t="str"/>
      <x:c r="H48" s="38" t="str"/>
      <x:c r="I48" s="41" t="str"/>
    </x:row>
    <x:row r="49" ht="15" hidden="0" customHeight="1">
      <x:c r="A49" s="38" t="str"/>
      <x:c r="B49" s="38" t="str"/>
      <x:c r="C49" s="38" t="str"/>
      <x:c r="D49" s="38" t="str"/>
      <x:c r="E49" s="38" t="str"/>
      <x:c r="F49" s="38" t="str"/>
      <x:c r="G49" s="38" t="str"/>
      <x:c r="H49" s="38" t="str"/>
      <x:c r="I49" s="41" t="str"/>
    </x:row>
    <x:row r="50" ht="15" hidden="0" customHeight="1">
      <x:c r="A50" s="38" t="str"/>
      <x:c r="B50" s="38" t="str"/>
      <x:c r="C50" s="38" t="str"/>
      <x:c r="D50" s="38" t="str"/>
      <x:c r="E50" s="38" t="str"/>
      <x:c r="F50" s="38" t="str"/>
      <x:c r="G50" s="38" t="str"/>
      <x:c r="H50" s="38" t="str"/>
      <x:c r="I50" s="41" t="str"/>
    </x:row>
    <x:row r="51" ht="15" hidden="0" customHeight="1">
      <x:c r="A51" s="38" t="str"/>
      <x:c r="B51" s="38" t="str"/>
      <x:c r="C51" s="38" t="str"/>
      <x:c r="D51" s="38" t="str"/>
      <x:c r="E51" s="38" t="str"/>
      <x:c r="F51" s="38" t="str"/>
      <x:c r="G51" s="38" t="str"/>
      <x:c r="H51" s="38" t="str"/>
      <x:c r="I51" s="41" t="str"/>
    </x:row>
    <x:row r="52" ht="15" hidden="0" customHeight="1">
      <x:c r="A52" s="38" t="str"/>
      <x:c r="B52" s="38" t="str"/>
      <x:c r="C52" s="38" t="str"/>
      <x:c r="D52" s="38" t="str"/>
      <x:c r="E52" s="38" t="str"/>
      <x:c r="F52" s="38" t="str"/>
      <x:c r="G52" s="38" t="str"/>
      <x:c r="H52" s="38" t="str"/>
      <x:c r="I52" s="41" t="str"/>
    </x:row>
    <x:row r="53" ht="15" hidden="0" customHeight="1">
      <x:c r="A53" s="38" t="str"/>
      <x:c r="B53" s="38" t="str"/>
      <x:c r="C53" s="38" t="str"/>
      <x:c r="D53" s="38" t="str"/>
      <x:c r="E53" s="38" t="str"/>
      <x:c r="F53" s="38" t="str"/>
      <x:c r="G53" s="38" t="str"/>
      <x:c r="H53" s="38" t="str"/>
      <x:c r="I53" s="41" t="str"/>
    </x:row>
    <x:row r="54" ht="15" hidden="0" customHeight="1">
      <x:c r="A54" s="38" t="str"/>
      <x:c r="B54" s="38" t="str"/>
      <x:c r="C54" s="38" t="str"/>
      <x:c r="D54" s="38" t="str"/>
      <x:c r="E54" s="38" t="str"/>
      <x:c r="F54" s="38" t="str"/>
      <x:c r="G54" s="38" t="str"/>
      <x:c r="H54" s="38" t="str"/>
      <x:c r="I54" s="41" t="str"/>
    </x:row>
    <x:row r="55" ht="15" hidden="0" customHeight="1">
      <x:c r="A55" s="38" t="str"/>
      <x:c r="B55" s="38" t="str"/>
      <x:c r="C55" s="38" t="str"/>
      <x:c r="D55" s="38" t="str"/>
      <x:c r="E55" s="38" t="str"/>
      <x:c r="F55" s="38" t="str"/>
      <x:c r="G55" s="38" t="str"/>
      <x:c r="H55" s="38" t="str"/>
      <x:c r="I55" s="41" t="str"/>
    </x:row>
    <x:row r="56" ht="15" hidden="0" customHeight="1">
      <x:c r="A56" s="38" t="str"/>
      <x:c r="B56" s="38" t="str"/>
      <x:c r="C56" s="38" t="str"/>
      <x:c r="D56" s="38" t="str"/>
      <x:c r="E56" s="38" t="str"/>
      <x:c r="F56" s="38" t="str"/>
      <x:c r="G56" s="38" t="str"/>
      <x:c r="H56" s="38" t="str"/>
      <x:c r="I56" s="41" t="str"/>
    </x:row>
    <x:row r="57" ht="15" hidden="0" customHeight="1">
      <x:c r="A57" s="38" t="str"/>
      <x:c r="B57" s="38" t="str"/>
      <x:c r="C57" s="38" t="str"/>
      <x:c r="D57" s="38" t="str"/>
      <x:c r="E57" s="38" t="str"/>
      <x:c r="F57" s="38" t="str"/>
      <x:c r="G57" s="38" t="str"/>
      <x:c r="H57" s="38" t="str"/>
      <x:c r="I57" s="41" t="str"/>
    </x:row>
    <x:row r="58" ht="15" hidden="0" customHeight="1">
      <x:c r="A58" s="38" t="str"/>
      <x:c r="B58" s="38" t="str"/>
      <x:c r="C58" s="38" t="str"/>
      <x:c r="D58" s="38" t="str"/>
      <x:c r="E58" s="38" t="str"/>
      <x:c r="F58" s="38" t="str"/>
      <x:c r="G58" s="38" t="str"/>
      <x:c r="H58" s="38" t="str"/>
      <x:c r="I58" s="41" t="str"/>
    </x:row>
    <x:row r="59" ht="15" hidden="0" customHeight="1">
      <x:c r="A59" s="38" t="str"/>
      <x:c r="B59" s="38" t="str"/>
      <x:c r="C59" s="38" t="str"/>
      <x:c r="D59" s="38" t="str"/>
      <x:c r="E59" s="38" t="str"/>
      <x:c r="F59" s="38" t="str"/>
      <x:c r="G59" s="38" t="str"/>
      <x:c r="H59" s="38" t="str"/>
      <x:c r="I59" s="41" t="str"/>
    </x:row>
    <x:row r="60" ht="15" hidden="0" customHeight="1">
      <x:c r="A60" s="38" t="str"/>
      <x:c r="B60" s="38" t="str"/>
      <x:c r="C60" s="38" t="str"/>
      <x:c r="D60" s="38" t="str"/>
      <x:c r="E60" s="38" t="str"/>
      <x:c r="F60" s="38" t="str"/>
      <x:c r="G60" s="38" t="str"/>
      <x:c r="H60" s="38" t="str"/>
      <x:c r="I60" s="41" t="str"/>
    </x:row>
    <x:row r="61" ht="15" hidden="0" customHeight="1">
      <x:c r="A61" s="38" t="str"/>
      <x:c r="B61" s="38" t="str"/>
      <x:c r="C61" s="38" t="str"/>
      <x:c r="D61" s="38" t="str"/>
      <x:c r="E61" s="38" t="str"/>
      <x:c r="F61" s="38" t="str"/>
      <x:c r="G61" s="38" t="str"/>
      <x:c r="H61" s="38" t="str"/>
      <x:c r="I61" s="41" t="str"/>
    </x:row>
    <x:row r="62" ht="15" hidden="0" customHeight="1">
      <x:c r="A62" s="38" t="str"/>
      <x:c r="B62" s="38" t="str"/>
      <x:c r="C62" s="38" t="str"/>
      <x:c r="D62" s="38" t="str"/>
      <x:c r="E62" s="38" t="str"/>
      <x:c r="F62" s="38" t="str"/>
      <x:c r="G62" s="38" t="str"/>
      <x:c r="H62" s="38" t="str"/>
      <x:c r="I62" s="41" t="str"/>
    </x:row>
    <x:row r="63" ht="15" hidden="0" customHeight="1">
      <x:c r="A63" s="38" t="str"/>
      <x:c r="B63" s="38" t="str"/>
      <x:c r="C63" s="38" t="str"/>
      <x:c r="D63" s="38" t="str"/>
      <x:c r="E63" s="38" t="str"/>
      <x:c r="F63" s="38" t="str"/>
      <x:c r="G63" s="38" t="str"/>
      <x:c r="H63" s="38" t="str"/>
      <x:c r="I63" s="41" t="str"/>
    </x:row>
    <x:row r="64" ht="15" hidden="0" customHeight="1">
      <x:c r="A64" s="38" t="str"/>
      <x:c r="B64" s="38" t="str"/>
      <x:c r="C64" s="38" t="str"/>
      <x:c r="D64" s="38" t="str"/>
      <x:c r="E64" s="38" t="str"/>
      <x:c r="F64" s="38" t="str"/>
      <x:c r="G64" s="38" t="str"/>
      <x:c r="H64" s="38" t="str"/>
      <x:c r="I64" s="41" t="str"/>
    </x:row>
    <x:row r="65" ht="15" hidden="0" customHeight="1">
      <x:c r="A65" s="38" t="str"/>
      <x:c r="B65" s="38" t="str"/>
      <x:c r="C65" s="38" t="str"/>
      <x:c r="D65" s="38" t="str"/>
      <x:c r="E65" s="38" t="str"/>
      <x:c r="F65" s="38" t="str"/>
      <x:c r="G65" s="38" t="str"/>
      <x:c r="H65" s="38" t="str"/>
      <x:c r="I65" s="41" t="str"/>
    </x:row>
    <x:row r="66" ht="15" hidden="0" customHeight="1">
      <x:c r="A66" s="38" t="str"/>
      <x:c r="B66" s="38" t="str"/>
      <x:c r="C66" s="38" t="str"/>
      <x:c r="D66" s="38" t="str"/>
      <x:c r="E66" s="38" t="str"/>
      <x:c r="F66" s="38" t="str"/>
      <x:c r="G66" s="38" t="str"/>
      <x:c r="H66" s="38" t="str"/>
      <x:c r="I66" s="41" t="str"/>
    </x:row>
    <x:row r="67" ht="15" hidden="0" customHeight="1">
      <x:c r="A67" s="38" t="str"/>
      <x:c r="B67" s="38" t="str"/>
      <x:c r="C67" s="38" t="str"/>
      <x:c r="D67" s="38" t="str"/>
      <x:c r="E67" s="38" t="str"/>
      <x:c r="F67" s="38" t="str"/>
      <x:c r="G67" s="38" t="str"/>
      <x:c r="H67" s="38" t="str"/>
      <x:c r="I67" s="41" t="str"/>
    </x:row>
    <x:row r="68" ht="15" hidden="0" customHeight="1">
      <x:c r="A68" s="38" t="str"/>
      <x:c r="B68" s="38" t="str"/>
      <x:c r="C68" s="38" t="str"/>
      <x:c r="D68" s="38" t="str"/>
      <x:c r="E68" s="38" t="str"/>
      <x:c r="F68" s="38" t="str"/>
      <x:c r="G68" s="38" t="str"/>
      <x:c r="H68" s="38" t="str"/>
      <x:c r="I68" s="41" t="str"/>
    </x:row>
    <x:row r="69" ht="15" hidden="0" customHeight="1">
      <x:c r="A69" s="38" t="str"/>
      <x:c r="B69" s="38" t="str"/>
      <x:c r="C69" s="38" t="str"/>
      <x:c r="D69" s="38" t="str"/>
      <x:c r="E69" s="38" t="str"/>
      <x:c r="F69" s="38" t="str"/>
      <x:c r="G69" s="38" t="str"/>
      <x:c r="H69" s="38" t="str"/>
      <x:c r="I69" s="41" t="str"/>
    </x:row>
    <x:row r="70" ht="15" hidden="0" customHeight="1">
      <x:c r="A70" s="38" t="str"/>
      <x:c r="B70" s="38" t="str"/>
      <x:c r="C70" s="38" t="str"/>
      <x:c r="D70" s="38" t="str"/>
      <x:c r="E70" s="38" t="str"/>
      <x:c r="F70" s="38" t="str"/>
      <x:c r="G70" s="38" t="str"/>
      <x:c r="H70" s="38" t="str"/>
      <x:c r="I70" s="41" t="str"/>
    </x:row>
    <x:row r="71" ht="15" hidden="0" customHeight="1">
      <x:c r="A71" s="38" t="str"/>
      <x:c r="B71" s="38" t="str"/>
      <x:c r="C71" s="38" t="str"/>
      <x:c r="D71" s="38" t="str"/>
      <x:c r="E71" s="38" t="str"/>
      <x:c r="F71" s="38" t="str"/>
      <x:c r="G71" s="38" t="str"/>
      <x:c r="H71" s="38" t="str"/>
      <x:c r="I71" s="41" t="str"/>
    </x:row>
    <x:row r="72" ht="15" hidden="0" customHeight="1">
      <x:c r="A72" s="38" t="str"/>
      <x:c r="B72" s="38" t="str"/>
      <x:c r="C72" s="38" t="str"/>
      <x:c r="D72" s="38" t="str"/>
      <x:c r="E72" s="38" t="str"/>
      <x:c r="F72" s="38" t="str"/>
      <x:c r="G72" s="38" t="str"/>
      <x:c r="H72" s="38" t="str"/>
      <x:c r="I72" s="41" t="str"/>
    </x:row>
    <x:row r="73" ht="15" hidden="0" customHeight="1">
      <x:c r="A73" s="38" t="str"/>
      <x:c r="B73" s="38" t="str"/>
      <x:c r="C73" s="38" t="str"/>
      <x:c r="D73" s="38" t="str"/>
      <x:c r="E73" s="38" t="str"/>
      <x:c r="F73" s="38" t="str"/>
      <x:c r="G73" s="38" t="str"/>
      <x:c r="H73" s="38" t="str"/>
      <x:c r="I73" s="41" t="str"/>
    </x:row>
    <x:row r="74" ht="15" hidden="0" customHeight="1">
      <x:c r="A74" s="38" t="str"/>
      <x:c r="B74" s="38" t="str"/>
      <x:c r="C74" s="38" t="str"/>
      <x:c r="D74" s="38" t="str"/>
      <x:c r="E74" s="38" t="str"/>
      <x:c r="F74" s="38" t="str"/>
      <x:c r="G74" s="38" t="str"/>
      <x:c r="H74" s="38" t="str"/>
      <x:c r="I74" s="41" t="str"/>
    </x:row>
    <x:row r="75" ht="15" hidden="0" customHeight="1">
      <x:c r="A75" s="38" t="str"/>
      <x:c r="B75" s="38" t="str"/>
      <x:c r="C75" s="38" t="str"/>
      <x:c r="D75" s="38" t="str"/>
      <x:c r="E75" s="38" t="str"/>
      <x:c r="F75" s="38" t="str"/>
      <x:c r="G75" s="38" t="str"/>
      <x:c r="H75" s="38" t="str"/>
      <x:c r="I75" s="41" t="str"/>
    </x:row>
    <x:row r="76" ht="15" hidden="0" customHeight="1">
      <x:c r="A76" s="38" t="str"/>
      <x:c r="B76" s="38" t="str"/>
      <x:c r="C76" s="38" t="str"/>
      <x:c r="D76" s="38" t="str"/>
      <x:c r="E76" s="38" t="str"/>
      <x:c r="F76" s="38" t="str"/>
      <x:c r="G76" s="38" t="str"/>
      <x:c r="H76" s="38" t="str"/>
      <x:c r="I76" s="41" t="str"/>
    </x:row>
    <x:row r="77" ht="15" hidden="0" customHeight="1">
      <x:c r="A77" s="38" t="str"/>
      <x:c r="B77" s="38" t="str"/>
      <x:c r="C77" s="38" t="str"/>
      <x:c r="D77" s="38" t="str"/>
      <x:c r="E77" s="38" t="str"/>
      <x:c r="F77" s="38" t="str"/>
      <x:c r="G77" s="38" t="str"/>
      <x:c r="H77" s="38" t="str"/>
      <x:c r="I77" s="41" t="str"/>
    </x:row>
    <x:row r="78" ht="15" hidden="0" customHeight="1">
      <x:c r="A78" s="38" t="str"/>
      <x:c r="B78" s="38" t="str"/>
      <x:c r="C78" s="38" t="str"/>
      <x:c r="D78" s="38" t="str"/>
      <x:c r="E78" s="38" t="str"/>
      <x:c r="F78" s="38" t="str"/>
      <x:c r="G78" s="38" t="str"/>
      <x:c r="H78" s="38" t="str"/>
      <x:c r="I78" s="41" t="str"/>
    </x:row>
    <x:row r="79" ht="15" hidden="0" customHeight="1">
      <x:c r="A79" s="38" t="str"/>
      <x:c r="B79" s="38" t="str"/>
      <x:c r="C79" s="38" t="str"/>
      <x:c r="D79" s="38" t="str"/>
      <x:c r="E79" s="38" t="str"/>
      <x:c r="F79" s="38" t="str"/>
      <x:c r="G79" s="38" t="str"/>
      <x:c r="H79" s="38" t="str"/>
      <x:c r="I79" s="41" t="str"/>
    </x:row>
    <x:row r="80" ht="15" hidden="0" customHeight="1">
      <x:c r="A80" s="38" t="str"/>
      <x:c r="B80" s="38" t="str"/>
      <x:c r="C80" s="38" t="str"/>
      <x:c r="D80" s="38" t="str"/>
      <x:c r="E80" s="38" t="str"/>
      <x:c r="F80" s="38" t="str"/>
      <x:c r="G80" s="38" t="str"/>
      <x:c r="H80" s="38" t="str"/>
      <x:c r="I80" s="41" t="str"/>
    </x:row>
    <x:row r="81" ht="15" hidden="0" customHeight="1">
      <x:c r="A81" s="38" t="str"/>
      <x:c r="B81" s="38" t="str"/>
      <x:c r="C81" s="38" t="str"/>
      <x:c r="D81" s="38" t="str"/>
      <x:c r="E81" s="38" t="str"/>
      <x:c r="F81" s="38" t="str"/>
      <x:c r="G81" s="38" t="str"/>
      <x:c r="H81" s="38" t="str"/>
      <x:c r="I81" s="41" t="str"/>
    </x:row>
    <x:row r="82" ht="15" hidden="0" customHeight="1">
      <x:c r="A82" s="38" t="str"/>
      <x:c r="B82" s="38" t="str"/>
      <x:c r="C82" s="38" t="str"/>
      <x:c r="D82" s="38" t="str"/>
      <x:c r="E82" s="38" t="str"/>
      <x:c r="F82" s="38" t="str"/>
      <x:c r="G82" s="38" t="str"/>
      <x:c r="H82" s="38" t="str"/>
      <x:c r="I82" s="41" t="str"/>
    </x:row>
    <x:row r="83" ht="15" hidden="0" customHeight="1">
      <x:c r="A83" s="38" t="str"/>
      <x:c r="B83" s="38" t="str"/>
      <x:c r="C83" s="38" t="str"/>
      <x:c r="D83" s="38" t="str"/>
      <x:c r="E83" s="38" t="str"/>
      <x:c r="F83" s="38" t="str"/>
      <x:c r="G83" s="38" t="str"/>
      <x:c r="H83" s="38" t="str"/>
      <x:c r="I83" s="41" t="str"/>
    </x:row>
    <x:row r="84" ht="15" hidden="0" customHeight="1">
      <x:c r="A84" s="38" t="str"/>
      <x:c r="B84" s="38" t="str"/>
      <x:c r="C84" s="38" t="str"/>
      <x:c r="D84" s="38" t="str"/>
      <x:c r="E84" s="38" t="str"/>
      <x:c r="F84" s="38" t="str"/>
      <x:c r="G84" s="38" t="str"/>
      <x:c r="H84" s="38" t="str"/>
      <x:c r="I84" s="41" t="str"/>
    </x:row>
    <x:row r="85" ht="15" hidden="0" customHeight="1">
      <x:c r="A85" s="38" t="str"/>
      <x:c r="B85" s="38" t="str"/>
      <x:c r="C85" s="38" t="str"/>
      <x:c r="D85" s="38" t="str"/>
      <x:c r="E85" s="38" t="str"/>
      <x:c r="F85" s="38" t="str"/>
      <x:c r="G85" s="38" t="str"/>
      <x:c r="H85" s="38" t="str"/>
      <x:c r="I85" s="41" t="str"/>
    </x:row>
    <x:row r="86" ht="15" hidden="0" customHeight="1">
      <x:c r="A86" s="38" t="str"/>
      <x:c r="B86" s="38" t="str"/>
      <x:c r="C86" s="38" t="str"/>
      <x:c r="D86" s="38" t="str"/>
      <x:c r="E86" s="38" t="str"/>
      <x:c r="F86" s="38" t="str"/>
      <x:c r="G86" s="38" t="str"/>
      <x:c r="H86" s="38" t="str"/>
      <x:c r="I86" s="41" t="str"/>
    </x:row>
    <x:row r="87" ht="15" hidden="0" customHeight="1">
      <x:c r="A87" s="38" t="str"/>
      <x:c r="B87" s="38" t="str"/>
      <x:c r="C87" s="38" t="str"/>
      <x:c r="D87" s="38" t="str"/>
      <x:c r="E87" s="38" t="str"/>
      <x:c r="F87" s="38" t="str"/>
      <x:c r="G87" s="38" t="str"/>
      <x:c r="H87" s="38" t="str"/>
      <x:c r="I87" s="41" t="str"/>
    </x:row>
    <x:row r="88" ht="15" hidden="0" customHeight="1">
      <x:c r="A88" s="38" t="str"/>
      <x:c r="B88" s="38" t="str"/>
      <x:c r="C88" s="38" t="str"/>
      <x:c r="D88" s="38" t="str"/>
      <x:c r="E88" s="38" t="str"/>
      <x:c r="F88" s="38" t="str"/>
      <x:c r="G88" s="38" t="str"/>
      <x:c r="H88" s="38" t="str"/>
      <x:c r="I88" s="41" t="str"/>
    </x:row>
    <x:row r="89" ht="15" hidden="0" customHeight="1">
      <x:c r="A89" s="38" t="str"/>
      <x:c r="B89" s="38" t="str"/>
      <x:c r="C89" s="38" t="str"/>
      <x:c r="D89" s="38" t="str"/>
      <x:c r="E89" s="38" t="str"/>
      <x:c r="F89" s="38" t="str"/>
      <x:c r="G89" s="38" t="str"/>
      <x:c r="H89" s="38" t="str"/>
      <x:c r="I89" s="41" t="str"/>
    </x:row>
    <x:row r="90" ht="15" hidden="0" customHeight="1">
      <x:c r="A90" s="38" t="str"/>
      <x:c r="B90" s="38" t="str"/>
      <x:c r="C90" s="38" t="str"/>
      <x:c r="D90" s="38" t="str"/>
      <x:c r="E90" s="38" t="str"/>
      <x:c r="F90" s="38" t="str"/>
      <x:c r="G90" s="38" t="str"/>
      <x:c r="H90" s="38" t="str"/>
      <x:c r="I90" s="41" t="str"/>
    </x:row>
    <x:row r="91" ht="15" hidden="0" customHeight="1">
      <x:c r="A91" s="38" t="str"/>
      <x:c r="B91" s="38" t="str"/>
      <x:c r="C91" s="38" t="str"/>
      <x:c r="D91" s="38" t="str"/>
      <x:c r="E91" s="38" t="str"/>
      <x:c r="F91" s="38" t="str"/>
      <x:c r="G91" s="38" t="str"/>
      <x:c r="H91" s="38" t="str"/>
      <x:c r="I91" s="41" t="str"/>
    </x:row>
    <x:row r="92" ht="15" hidden="0" customHeight="1">
      <x:c r="A92" s="38" t="str"/>
      <x:c r="B92" s="38" t="str"/>
      <x:c r="C92" s="38" t="str"/>
      <x:c r="D92" s="38" t="str"/>
      <x:c r="E92" s="38" t="str"/>
      <x:c r="F92" s="38" t="str"/>
      <x:c r="G92" s="38" t="str"/>
      <x:c r="H92" s="38" t="str"/>
      <x:c r="I92" s="41" t="str"/>
    </x:row>
    <x:row r="93" ht="15" hidden="0" customHeight="1">
      <x:c r="A93" s="38" t="str"/>
      <x:c r="B93" s="38" t="str"/>
      <x:c r="C93" s="38" t="str"/>
      <x:c r="D93" s="38" t="str"/>
      <x:c r="E93" s="38" t="str"/>
      <x:c r="F93" s="38" t="str"/>
      <x:c r="G93" s="38" t="str"/>
      <x:c r="H93" s="38" t="str"/>
      <x:c r="I93" s="41" t="str"/>
    </x:row>
    <x:row r="94" ht="15" hidden="0" customHeight="1">
      <x:c r="A94" s="38" t="str"/>
      <x:c r="B94" s="38" t="str"/>
      <x:c r="C94" s="38" t="str"/>
      <x:c r="D94" s="38" t="str"/>
      <x:c r="E94" s="38" t="str"/>
      <x:c r="F94" s="38" t="str"/>
      <x:c r="G94" s="38" t="str"/>
      <x:c r="H94" s="38" t="str"/>
      <x:c r="I94" s="41" t="str"/>
    </x:row>
    <x:row r="95" ht="15" hidden="0" customHeight="1">
      <x:c r="A95" s="38" t="str"/>
      <x:c r="B95" s="38" t="str"/>
      <x:c r="C95" s="38" t="str"/>
      <x:c r="D95" s="38" t="str"/>
      <x:c r="E95" s="38" t="str"/>
      <x:c r="F95" s="38" t="str"/>
      <x:c r="G95" s="38" t="str"/>
      <x:c r="H95" s="38" t="str"/>
      <x:c r="I95" s="41" t="str"/>
    </x:row>
    <x:row r="96" ht="15" hidden="0" customHeight="1">
      <x:c r="A96" s="38" t="str"/>
      <x:c r="B96" s="38" t="str"/>
      <x:c r="C96" s="38" t="str"/>
      <x:c r="D96" s="38" t="str"/>
      <x:c r="E96" s="38" t="str"/>
      <x:c r="F96" s="38" t="str"/>
      <x:c r="G96" s="38" t="str"/>
      <x:c r="H96" s="38" t="str"/>
      <x:c r="I96" s="41" t="str"/>
    </x:row>
    <x:row r="97" ht="15" hidden="0" customHeight="1">
      <x:c r="A97" s="38" t="str"/>
      <x:c r="B97" s="38" t="str"/>
      <x:c r="C97" s="38" t="str"/>
      <x:c r="D97" s="38" t="str"/>
      <x:c r="E97" s="38" t="str"/>
      <x:c r="F97" s="38" t="str"/>
      <x:c r="G97" s="38" t="str"/>
      <x:c r="H97" s="38" t="str"/>
      <x:c r="I97" s="41" t="str"/>
    </x:row>
    <x:row r="98" ht="15" hidden="0" customHeight="1">
      <x:c r="A98" s="38" t="str"/>
      <x:c r="B98" s="38" t="str"/>
      <x:c r="C98" s="38" t="str"/>
      <x:c r="D98" s="38" t="str"/>
      <x:c r="E98" s="38" t="str"/>
      <x:c r="F98" s="38" t="str"/>
      <x:c r="G98" s="38" t="str"/>
      <x:c r="H98" s="38" t="str"/>
      <x:c r="I98" s="41" t="str"/>
    </x:row>
    <x:row r="99" ht="15" hidden="0" customHeight="1">
      <x:c r="A99" s="38" t="str"/>
      <x:c r="B99" s="38" t="str"/>
      <x:c r="C99" s="38" t="str"/>
      <x:c r="D99" s="38" t="str"/>
      <x:c r="E99" s="38" t="str"/>
      <x:c r="F99" s="38" t="str"/>
      <x:c r="G99" s="38" t="str"/>
      <x:c r="H99" s="38" t="str"/>
      <x:c r="I99" s="41" t="str"/>
    </x:row>
    <x:row r="100" ht="15" hidden="0" customHeight="1">
      <x:c r="A100" s="38" t="str"/>
      <x:c r="B100" s="38" t="str"/>
      <x:c r="C100" s="38" t="str"/>
      <x:c r="D100" s="38" t="str"/>
      <x:c r="E100" s="38" t="str"/>
      <x:c r="F100" s="38" t="str"/>
      <x:c r="G100" s="38" t="str"/>
      <x:c r="H100" s="38" t="str"/>
      <x:c r="I100" s="41" t="str"/>
    </x:row>
    <x:row r="101" ht="15" hidden="0" customHeight="1">
      <x:c r="A101" s="38" t="str"/>
      <x:c r="B101" s="38" t="str"/>
      <x:c r="C101" s="38" t="str"/>
      <x:c r="D101" s="38" t="str"/>
      <x:c r="E101" s="38" t="str"/>
      <x:c r="F101" s="38" t="str"/>
      <x:c r="G101" s="38" t="str"/>
      <x:c r="H101" s="38" t="str"/>
      <x:c r="I101" s="41" t="str"/>
    </x:row>
    <x:row r="102" ht="15" hidden="0" customHeight="1">
      <x:c r="A102" s="38" t="str"/>
      <x:c r="B102" s="38" t="str"/>
      <x:c r="C102" s="38" t="str"/>
      <x:c r="D102" s="38" t="str"/>
      <x:c r="E102" s="38" t="str"/>
      <x:c r="F102" s="38" t="str"/>
      <x:c r="G102" s="38" t="str"/>
      <x:c r="H102" s="38" t="str"/>
      <x:c r="I102" s="41" t="str"/>
    </x:row>
    <x:row r="103" ht="15" hidden="0" customHeight="1">
      <x:c r="A103" s="38" t="str"/>
      <x:c r="B103" s="38" t="str"/>
      <x:c r="C103" s="38" t="str"/>
      <x:c r="D103" s="38" t="str"/>
      <x:c r="E103" s="38" t="str"/>
      <x:c r="F103" s="38" t="str"/>
      <x:c r="G103" s="38" t="str"/>
      <x:c r="H103" s="38" t="str"/>
      <x:c r="I103" s="41" t="str"/>
    </x:row>
    <x:row r="104" ht="15" hidden="0" customHeight="1">
      <x:c r="A104" s="38" t="str"/>
      <x:c r="B104" s="38" t="str"/>
      <x:c r="C104" s="38" t="str"/>
      <x:c r="D104" s="38" t="str"/>
      <x:c r="E104" s="38" t="str"/>
      <x:c r="F104" s="38" t="str"/>
      <x:c r="G104" s="38" t="str"/>
      <x:c r="H104" s="38" t="str"/>
      <x:c r="I104" s="41" t="str"/>
    </x:row>
    <x:row r="105" ht="15" hidden="0" customHeight="1">
      <x:c r="A105" s="38" t="str"/>
      <x:c r="B105" s="38" t="str"/>
      <x:c r="C105" s="38" t="str"/>
      <x:c r="D105" s="38" t="str"/>
      <x:c r="E105" s="38" t="str"/>
      <x:c r="F105" s="38" t="str"/>
      <x:c r="G105" s="38" t="str"/>
      <x:c r="H105" s="38" t="str"/>
      <x:c r="I105" s="41" t="str"/>
    </x:row>
    <x:row r="106" ht="15" hidden="0" customHeight="1">
      <x:c r="A106" s="38" t="str"/>
      <x:c r="B106" s="38" t="str"/>
      <x:c r="C106" s="38" t="str"/>
      <x:c r="D106" s="38" t="str"/>
      <x:c r="E106" s="38" t="str"/>
      <x:c r="F106" s="38" t="str"/>
      <x:c r="G106" s="38" t="str"/>
      <x:c r="H106" s="38" t="str"/>
      <x:c r="I106" s="41" t="str"/>
    </x:row>
    <x:row r="107" ht="15" hidden="0" customHeight="1">
      <x:c r="A107" s="38" t="str"/>
      <x:c r="B107" s="38" t="str"/>
      <x:c r="C107" s="38" t="str"/>
      <x:c r="D107" s="38" t="str"/>
      <x:c r="E107" s="38" t="str"/>
      <x:c r="F107" s="38" t="str"/>
      <x:c r="G107" s="38" t="str"/>
      <x:c r="H107" s="38" t="str"/>
      <x:c r="I107" s="41" t="str"/>
    </x:row>
    <x:row r="108" ht="15" hidden="0" customHeight="1">
      <x:c r="A108" s="38" t="str"/>
      <x:c r="B108" s="38" t="str"/>
      <x:c r="C108" s="38" t="str"/>
      <x:c r="D108" s="38" t="str"/>
      <x:c r="E108" s="38" t="str"/>
      <x:c r="F108" s="38" t="str"/>
      <x:c r="G108" s="38" t="str"/>
      <x:c r="H108" s="38" t="str"/>
      <x:c r="I108" s="41" t="str"/>
    </x:row>
    <x:row r="109" ht="15" hidden="0" customHeight="1">
      <x:c r="A109" s="38" t="str"/>
      <x:c r="B109" s="38" t="str"/>
      <x:c r="C109" s="38" t="str"/>
      <x:c r="D109" s="38" t="str"/>
      <x:c r="E109" s="38" t="str"/>
      <x:c r="F109" s="38" t="str"/>
      <x:c r="G109" s="38" t="str"/>
      <x:c r="H109" s="38" t="str"/>
      <x:c r="I109" s="41" t="str"/>
    </x:row>
    <x:row r="110" ht="15" hidden="0" customHeight="1">
      <x:c r="A110" s="38" t="str"/>
      <x:c r="B110" s="38" t="str"/>
      <x:c r="C110" s="38" t="str"/>
      <x:c r="D110" s="38" t="str"/>
      <x:c r="E110" s="38" t="str"/>
      <x:c r="F110" s="38" t="str"/>
      <x:c r="G110" s="38" t="str"/>
      <x:c r="H110" s="38" t="str"/>
      <x:c r="I110" s="41" t="str"/>
    </x:row>
    <x:row r="111" ht="15" hidden="0" customHeight="1">
      <x:c r="A111" s="38" t="str"/>
      <x:c r="B111" s="38" t="str"/>
      <x:c r="C111" s="38" t="str"/>
      <x:c r="D111" s="38" t="str"/>
      <x:c r="E111" s="38" t="str"/>
      <x:c r="F111" s="38" t="str"/>
      <x:c r="G111" s="38" t="str"/>
      <x:c r="H111" s="38" t="str"/>
      <x:c r="I111" s="41" t="str"/>
    </x:row>
    <x:row r="112" ht="15" hidden="0" customHeight="1">
      <x:c r="A112" s="38" t="str"/>
      <x:c r="B112" s="38" t="str"/>
      <x:c r="C112" s="38" t="str"/>
      <x:c r="D112" s="38" t="str"/>
      <x:c r="E112" s="38" t="str"/>
      <x:c r="F112" s="38" t="str"/>
      <x:c r="G112" s="38" t="str"/>
      <x:c r="H112" s="38" t="str"/>
      <x:c r="I112" s="41" t="str"/>
    </x:row>
    <x:row r="113" ht="15" hidden="0" customHeight="1">
      <x:c r="A113" s="38" t="str"/>
      <x:c r="B113" s="38" t="str"/>
      <x:c r="C113" s="38" t="str"/>
      <x:c r="D113" s="38" t="str"/>
      <x:c r="E113" s="38" t="str"/>
      <x:c r="F113" s="38" t="str"/>
      <x:c r="G113" s="38" t="str"/>
      <x:c r="H113" s="38" t="str"/>
      <x:c r="I113" s="41" t="str"/>
    </x:row>
    <x:row r="114" ht="15" hidden="0" customHeight="1">
      <x:c r="A114" s="38" t="str"/>
      <x:c r="B114" s="38" t="str"/>
      <x:c r="C114" s="38" t="str"/>
      <x:c r="D114" s="38" t="str"/>
      <x:c r="E114" s="38" t="str"/>
      <x:c r="F114" s="38" t="str"/>
      <x:c r="G114" s="38" t="str"/>
      <x:c r="H114" s="38" t="str"/>
      <x:c r="I114" s="41" t="str"/>
    </x:row>
    <x:row r="115" ht="15" hidden="0" customHeight="1">
      <x:c r="A115" s="38" t="str"/>
      <x:c r="B115" s="38" t="str"/>
      <x:c r="C115" s="38" t="str"/>
      <x:c r="D115" s="38" t="str"/>
      <x:c r="E115" s="38" t="str"/>
      <x:c r="F115" s="38" t="str"/>
      <x:c r="G115" s="38" t="str"/>
      <x:c r="H115" s="38" t="str"/>
      <x:c r="I115" s="41" t="str"/>
    </x:row>
    <x:row r="116" ht="15" hidden="0" customHeight="1">
      <x:c r="A116" s="38" t="str"/>
      <x:c r="B116" s="38" t="str"/>
      <x:c r="C116" s="38" t="str"/>
      <x:c r="D116" s="38" t="str"/>
      <x:c r="E116" s="38" t="str"/>
      <x:c r="F116" s="38" t="str"/>
      <x:c r="G116" s="38" t="str"/>
      <x:c r="H116" s="38" t="str"/>
      <x:c r="I116" s="41" t="str"/>
    </x:row>
    <x:row r="117" ht="15" hidden="0" customHeight="1">
      <x:c r="A117" s="38" t="str"/>
      <x:c r="B117" s="38" t="str"/>
      <x:c r="C117" s="38" t="str"/>
      <x:c r="D117" s="38" t="str"/>
      <x:c r="E117" s="38" t="str"/>
      <x:c r="F117" s="38" t="str"/>
      <x:c r="G117" s="38" t="str"/>
      <x:c r="H117" s="38" t="str"/>
      <x:c r="I117" s="41" t="str"/>
    </x:row>
    <x:row r="118" ht="15" hidden="0" customHeight="1">
      <x:c r="A118" s="38" t="str"/>
      <x:c r="B118" s="38" t="str"/>
      <x:c r="C118" s="38" t="str"/>
      <x:c r="D118" s="38" t="str"/>
      <x:c r="E118" s="38" t="str"/>
      <x:c r="F118" s="38" t="str"/>
      <x:c r="G118" s="38" t="str"/>
      <x:c r="H118" s="38" t="str"/>
      <x:c r="I118" s="41" t="str"/>
    </x:row>
    <x:row r="119" ht="15" hidden="0" customHeight="1">
      <x:c r="A119" s="38" t="str"/>
      <x:c r="B119" s="38" t="str"/>
      <x:c r="C119" s="38" t="str"/>
      <x:c r="D119" s="38" t="str"/>
      <x:c r="E119" s="38" t="str"/>
      <x:c r="F119" s="38" t="str"/>
      <x:c r="G119" s="38" t="str"/>
      <x:c r="H119" s="38" t="str"/>
      <x:c r="I119" s="41" t="str"/>
    </x:row>
    <x:row r="120" ht="15" hidden="0" customHeight="1">
      <x:c r="A120" s="38" t="str"/>
      <x:c r="B120" s="38" t="str"/>
      <x:c r="C120" s="38" t="str"/>
      <x:c r="D120" s="38" t="str"/>
      <x:c r="E120" s="38" t="str"/>
      <x:c r="F120" s="38" t="str"/>
      <x:c r="G120" s="38" t="str"/>
      <x:c r="H120" s="38" t="str"/>
      <x:c r="I120" s="41" t="str"/>
    </x:row>
    <x:row r="121" ht="15" hidden="0" customHeight="1">
      <x:c r="A121" s="38" t="str"/>
      <x:c r="B121" s="38" t="str"/>
      <x:c r="C121" s="38" t="str"/>
      <x:c r="D121" s="38" t="str"/>
      <x:c r="E121" s="38" t="str"/>
      <x:c r="F121" s="38" t="str"/>
      <x:c r="G121" s="38" t="str"/>
      <x:c r="H121" s="38" t="str"/>
      <x:c r="I121" s="41" t="str"/>
    </x:row>
    <x:row r="122" ht="15" hidden="0" customHeight="1">
      <x:c r="A122" s="38" t="str"/>
      <x:c r="B122" s="38" t="str"/>
      <x:c r="C122" s="38" t="str"/>
      <x:c r="D122" s="38" t="str"/>
      <x:c r="E122" s="38" t="str"/>
      <x:c r="F122" s="38" t="str"/>
      <x:c r="G122" s="38" t="str"/>
      <x:c r="H122" s="38" t="str"/>
      <x:c r="I122" s="41" t="str"/>
    </x:row>
    <x:row r="123" ht="15" hidden="0" customHeight="1">
      <x:c r="A123" s="38" t="str"/>
      <x:c r="B123" s="38" t="str"/>
      <x:c r="C123" s="38" t="str"/>
      <x:c r="D123" s="38" t="str"/>
      <x:c r="E123" s="38" t="str"/>
      <x:c r="F123" s="38" t="str"/>
      <x:c r="G123" s="38" t="str"/>
      <x:c r="H123" s="38" t="str"/>
      <x:c r="I123" s="41" t="str"/>
    </x:row>
    <x:row r="124" ht="15" hidden="0" customHeight="1">
      <x:c r="A124" s="38" t="str"/>
      <x:c r="B124" s="38" t="str"/>
      <x:c r="C124" s="38" t="str"/>
      <x:c r="D124" s="38" t="str"/>
      <x:c r="E124" s="38" t="str"/>
      <x:c r="F124" s="38" t="str"/>
      <x:c r="G124" s="38" t="str"/>
      <x:c r="H124" s="38" t="str"/>
      <x:c r="I124" s="41" t="str"/>
    </x:row>
    <x:row r="125" ht="15" hidden="0" customHeight="1">
      <x:c r="A125" s="38" t="str"/>
      <x:c r="B125" s="38" t="str"/>
      <x:c r="C125" s="38" t="str"/>
      <x:c r="D125" s="38" t="str"/>
      <x:c r="E125" s="38" t="str"/>
      <x:c r="F125" s="38" t="str"/>
      <x:c r="G125" s="38" t="str"/>
      <x:c r="H125" s="38" t="str"/>
      <x:c r="I125" s="41" t="str"/>
    </x:row>
    <x:row r="126" ht="15" hidden="0" customHeight="1">
      <x:c r="A126" s="38" t="str"/>
      <x:c r="B126" s="38" t="str"/>
      <x:c r="C126" s="38" t="str"/>
      <x:c r="D126" s="38" t="str"/>
      <x:c r="E126" s="38" t="str"/>
      <x:c r="F126" s="38" t="str"/>
      <x:c r="G126" s="38" t="str"/>
      <x:c r="H126" s="38" t="str"/>
      <x:c r="I126" s="41" t="str"/>
    </x:row>
    <x:row r="127" ht="15" hidden="0" customHeight="1">
      <x:c r="A127" s="38" t="str"/>
      <x:c r="B127" s="38" t="str"/>
      <x:c r="C127" s="38" t="str"/>
      <x:c r="D127" s="38" t="str"/>
      <x:c r="E127" s="38" t="str"/>
      <x:c r="F127" s="38" t="str"/>
      <x:c r="G127" s="38" t="str"/>
      <x:c r="H127" s="38" t="str"/>
      <x:c r="I127" s="41" t="str"/>
    </x:row>
    <x:row r="128" ht="15" hidden="0" customHeight="1">
      <x:c r="A128" s="38" t="str"/>
      <x:c r="B128" s="38" t="str"/>
      <x:c r="C128" s="38" t="str"/>
      <x:c r="D128" s="38" t="str"/>
      <x:c r="E128" s="38" t="str"/>
      <x:c r="F128" s="38" t="str"/>
      <x:c r="G128" s="38" t="str"/>
      <x:c r="H128" s="38" t="str"/>
      <x:c r="I128" s="41" t="str"/>
    </x:row>
    <x:row r="129" ht="15" hidden="0" customHeight="1">
      <x:c r="A129" s="38" t="str"/>
      <x:c r="B129" s="38" t="str"/>
      <x:c r="C129" s="38" t="str"/>
      <x:c r="D129" s="38" t="str"/>
      <x:c r="E129" s="38" t="str"/>
      <x:c r="F129" s="38" t="str"/>
      <x:c r="G129" s="38" t="str"/>
      <x:c r="H129" s="38" t="str"/>
      <x:c r="I129" s="41" t="str"/>
    </x:row>
    <x:row r="130" ht="15" hidden="0" customHeight="1">
      <x:c r="A130" s="38" t="str"/>
      <x:c r="B130" s="38" t="str"/>
      <x:c r="C130" s="38" t="str"/>
      <x:c r="D130" s="38" t="str"/>
      <x:c r="E130" s="38" t="str"/>
      <x:c r="F130" s="38" t="str"/>
      <x:c r="G130" s="38" t="str"/>
      <x:c r="H130" s="38" t="str"/>
      <x:c r="I130" s="41" t="str"/>
    </x:row>
    <x:row r="131" ht="15" hidden="0" customHeight="1">
      <x:c r="A131" s="38" t="str"/>
      <x:c r="B131" s="38" t="str"/>
      <x:c r="C131" s="38" t="str"/>
      <x:c r="D131" s="38" t="str"/>
      <x:c r="E131" s="38" t="str"/>
      <x:c r="F131" s="38" t="str"/>
      <x:c r="G131" s="38" t="str"/>
      <x:c r="H131" s="38" t="str"/>
      <x:c r="I131" s="41" t="str"/>
    </x:row>
    <x:row r="132" ht="15" hidden="0" customHeight="1">
      <x:c r="A132" s="38" t="str"/>
      <x:c r="B132" s="38" t="str"/>
      <x:c r="C132" s="38" t="str"/>
      <x:c r="D132" s="38" t="str"/>
      <x:c r="E132" s="38" t="str"/>
      <x:c r="F132" s="38" t="str"/>
      <x:c r="G132" s="38" t="str"/>
      <x:c r="H132" s="38" t="str"/>
      <x:c r="I132" s="41" t="str"/>
    </x:row>
    <x:row r="133" ht="15" hidden="0" customHeight="1">
      <x:c r="A133" s="38" t="str"/>
      <x:c r="B133" s="38" t="str"/>
      <x:c r="C133" s="38" t="str"/>
      <x:c r="D133" s="38" t="str"/>
      <x:c r="E133" s="38" t="str"/>
      <x:c r="F133" s="38" t="str"/>
      <x:c r="G133" s="38" t="str"/>
      <x:c r="H133" s="38" t="str"/>
      <x:c r="I133" s="41" t="str"/>
    </x:row>
    <x:row r="134" ht="15" hidden="0" customHeight="1">
      <x:c r="A134" s="38" t="str"/>
      <x:c r="B134" s="38" t="str"/>
      <x:c r="C134" s="38" t="str"/>
      <x:c r="D134" s="38" t="str"/>
      <x:c r="E134" s="38" t="str"/>
      <x:c r="F134" s="38" t="str"/>
      <x:c r="G134" s="38" t="str"/>
      <x:c r="H134" s="38" t="str"/>
      <x:c r="I134" s="41" t="str"/>
    </x:row>
    <x:row r="135" ht="15" hidden="0" customHeight="1">
      <x:c r="A135" s="38" t="str"/>
      <x:c r="B135" s="38" t="str"/>
      <x:c r="C135" s="38" t="str"/>
      <x:c r="D135" s="38" t="str"/>
      <x:c r="E135" s="38" t="str"/>
      <x:c r="F135" s="38" t="str"/>
      <x:c r="G135" s="38" t="str"/>
      <x:c r="H135" s="38" t="str"/>
      <x:c r="I135" s="41" t="str"/>
    </x:row>
    <x:row r="136" ht="15" hidden="0" customHeight="1">
      <x:c r="A136" s="38" t="str"/>
      <x:c r="B136" s="38" t="str"/>
      <x:c r="C136" s="38" t="str"/>
      <x:c r="D136" s="38" t="str"/>
      <x:c r="E136" s="38" t="str"/>
      <x:c r="F136" s="38" t="str"/>
      <x:c r="G136" s="38" t="str"/>
      <x:c r="H136" s="38" t="str"/>
      <x:c r="I136" s="41" t="str"/>
    </x:row>
    <x:row r="137" ht="15" hidden="0" customHeight="1">
      <x:c r="A137" s="38" t="str"/>
      <x:c r="B137" s="38" t="str"/>
      <x:c r="C137" s="38" t="str"/>
      <x:c r="D137" s="38" t="str"/>
      <x:c r="E137" s="38" t="str"/>
      <x:c r="F137" s="38" t="str"/>
      <x:c r="G137" s="38" t="str"/>
      <x:c r="H137" s="38" t="str"/>
      <x:c r="I137" s="41" t="str"/>
    </x:row>
    <x:row r="138" ht="15" hidden="0" customHeight="1">
      <x:c r="A138" s="38" t="str"/>
      <x:c r="B138" s="38" t="str"/>
      <x:c r="C138" s="38" t="str"/>
      <x:c r="D138" s="38" t="str"/>
      <x:c r="E138" s="38" t="str"/>
      <x:c r="F138" s="38" t="str"/>
      <x:c r="G138" s="38" t="str"/>
      <x:c r="H138" s="38" t="str"/>
      <x:c r="I138" s="41" t="str"/>
    </x:row>
    <x:row r="139" ht="15" hidden="0" customHeight="1">
      <x:c r="A139" s="38" t="str"/>
      <x:c r="B139" s="38" t="str"/>
      <x:c r="C139" s="38" t="str"/>
      <x:c r="D139" s="38" t="str"/>
      <x:c r="E139" s="38" t="str"/>
      <x:c r="F139" s="38" t="str"/>
      <x:c r="G139" s="38" t="str"/>
      <x:c r="H139" s="38" t="str"/>
      <x:c r="I139" s="41" t="str"/>
    </x:row>
    <x:row r="140" ht="15" hidden="0" customHeight="1">
      <x:c r="A140" s="38" t="str"/>
      <x:c r="B140" s="38" t="str"/>
      <x:c r="C140" s="38" t="str"/>
      <x:c r="D140" s="38" t="str"/>
      <x:c r="E140" s="38" t="str"/>
      <x:c r="F140" s="38" t="str"/>
      <x:c r="G140" s="38" t="str"/>
      <x:c r="H140" s="38" t="str"/>
      <x:c r="I140" s="41" t="str"/>
    </x:row>
    <x:row r="141" ht="15" hidden="0" customHeight="1">
      <x:c r="A141" s="38" t="str"/>
      <x:c r="B141" s="38" t="str"/>
      <x:c r="C141" s="38" t="str"/>
      <x:c r="D141" s="38" t="str"/>
      <x:c r="E141" s="38" t="str"/>
      <x:c r="F141" s="38" t="str"/>
      <x:c r="G141" s="38" t="str"/>
      <x:c r="H141" s="38" t="str"/>
      <x:c r="I141" s="41" t="str"/>
    </x:row>
    <x:row r="142" ht="15" hidden="0" customHeight="1">
      <x:c r="A142" s="38" t="str"/>
      <x:c r="B142" s="38" t="str"/>
      <x:c r="C142" s="38" t="str"/>
      <x:c r="D142" s="38" t="str"/>
      <x:c r="E142" s="38" t="str"/>
      <x:c r="F142" s="38" t="str"/>
      <x:c r="G142" s="38" t="str"/>
      <x:c r="H142" s="38" t="str"/>
      <x:c r="I142" s="41" t="str"/>
    </x:row>
    <x:row r="143" ht="15" hidden="0" customHeight="1">
      <x:c r="A143" s="38" t="str"/>
      <x:c r="B143" s="38" t="str"/>
      <x:c r="C143" s="38" t="str"/>
      <x:c r="D143" s="38" t="str"/>
      <x:c r="E143" s="38" t="str"/>
      <x:c r="F143" s="38" t="str"/>
      <x:c r="G143" s="38" t="str"/>
      <x:c r="H143" s="38" t="str"/>
      <x:c r="I143" s="41" t="str"/>
    </x:row>
    <x:row r="144" ht="15" hidden="0" customHeight="1">
      <x:c r="A144" s="38" t="str"/>
      <x:c r="B144" s="38" t="str"/>
      <x:c r="C144" s="38" t="str"/>
      <x:c r="D144" s="38" t="str"/>
      <x:c r="E144" s="38" t="str"/>
      <x:c r="F144" s="38" t="str"/>
      <x:c r="G144" s="38" t="str"/>
      <x:c r="H144" s="38" t="str"/>
      <x:c r="I144" s="41" t="str"/>
    </x:row>
    <x:row r="145" ht="15" hidden="0" customHeight="1">
      <x:c r="A145" s="38" t="str"/>
      <x:c r="B145" s="38" t="str"/>
      <x:c r="C145" s="38" t="str"/>
      <x:c r="D145" s="38" t="str"/>
      <x:c r="E145" s="38" t="str"/>
      <x:c r="F145" s="38" t="str"/>
      <x:c r="G145" s="38" t="str"/>
      <x:c r="H145" s="38" t="str"/>
      <x:c r="I145" s="41" t="str"/>
    </x:row>
    <x:row r="146" ht="15" hidden="0" customHeight="1">
      <x:c r="A146" s="38" t="str"/>
      <x:c r="B146" s="38" t="str"/>
      <x:c r="C146" s="38" t="str"/>
      <x:c r="D146" s="38" t="str"/>
      <x:c r="E146" s="38" t="str"/>
      <x:c r="F146" s="38" t="str"/>
      <x:c r="G146" s="38" t="str"/>
      <x:c r="H146" s="38" t="str"/>
      <x:c r="I146" s="41" t="str"/>
    </x:row>
    <x:row r="147" ht="15" hidden="0" customHeight="1">
      <x:c r="A147" s="38" t="str"/>
      <x:c r="B147" s="38" t="str"/>
      <x:c r="C147" s="38" t="str"/>
      <x:c r="D147" s="38" t="str"/>
      <x:c r="E147" s="38" t="str"/>
      <x:c r="F147" s="38" t="str"/>
      <x:c r="G147" s="38" t="str"/>
      <x:c r="H147" s="38" t="str"/>
      <x:c r="I147" s="41" t="str"/>
    </x:row>
    <x:row r="148" ht="15" hidden="0" customHeight="1">
      <x:c r="A148" s="38" t="str"/>
      <x:c r="B148" s="38" t="str"/>
      <x:c r="C148" s="38" t="str"/>
      <x:c r="D148" s="38" t="str"/>
      <x:c r="E148" s="38" t="str"/>
      <x:c r="F148" s="38" t="str"/>
      <x:c r="G148" s="38" t="str"/>
      <x:c r="H148" s="38" t="str"/>
      <x:c r="I148" s="41" t="str"/>
    </x:row>
    <x:row r="149" ht="15" hidden="0" customHeight="1">
      <x:c r="A149" s="38" t="str"/>
      <x:c r="B149" s="38" t="str"/>
      <x:c r="C149" s="38" t="str"/>
      <x:c r="D149" s="38" t="str"/>
      <x:c r="E149" s="38" t="str"/>
      <x:c r="F149" s="38" t="str"/>
      <x:c r="G149" s="38" t="str"/>
      <x:c r="H149" s="38" t="str"/>
      <x:c r="I149" s="41" t="str"/>
    </x:row>
    <x:row r="150" ht="15" hidden="0" customHeight="1">
      <x:c r="A150" s="38" t="str"/>
      <x:c r="B150" s="38" t="str"/>
      <x:c r="C150" s="38" t="str"/>
      <x:c r="D150" s="38" t="str"/>
      <x:c r="E150" s="38" t="str"/>
      <x:c r="F150" s="38" t="str"/>
      <x:c r="G150" s="38" t="str"/>
      <x:c r="H150" s="38" t="str"/>
      <x:c r="I150" s="41" t="str"/>
    </x:row>
    <x:row r="151" ht="15" hidden="0" customHeight="1">
      <x:c r="A151" s="38" t="str"/>
      <x:c r="B151" s="38" t="str"/>
      <x:c r="C151" s="38" t="str"/>
      <x:c r="D151" s="38" t="str"/>
      <x:c r="E151" s="38" t="str"/>
      <x:c r="F151" s="38" t="str"/>
      <x:c r="G151" s="38" t="str"/>
      <x:c r="H151" s="38" t="str"/>
      <x:c r="I151" s="41" t="str"/>
    </x:row>
    <x:row r="152" ht="15" hidden="0" customHeight="1">
      <x:c r="A152" s="38" t="str"/>
      <x:c r="B152" s="38" t="str"/>
      <x:c r="C152" s="38" t="str"/>
      <x:c r="D152" s="38" t="str"/>
      <x:c r="E152" s="38" t="str"/>
      <x:c r="F152" s="38" t="str"/>
      <x:c r="G152" s="38" t="str"/>
      <x:c r="H152" s="38" t="str"/>
      <x:c r="I152" s="41" t="str"/>
    </x:row>
    <x:row r="153" ht="15" hidden="0" customHeight="1">
      <x:c r="A153" s="38" t="str"/>
      <x:c r="B153" s="38" t="str"/>
      <x:c r="C153" s="38" t="str"/>
      <x:c r="D153" s="38" t="str"/>
      <x:c r="E153" s="38" t="str"/>
      <x:c r="F153" s="38" t="str"/>
      <x:c r="G153" s="38" t="str"/>
      <x:c r="H153" s="38" t="str"/>
      <x:c r="I153" s="41" t="str"/>
    </x:row>
    <x:row r="154" ht="15" hidden="0" customHeight="1">
      <x:c r="A154" s="38" t="str"/>
      <x:c r="B154" s="38" t="str"/>
      <x:c r="C154" s="38" t="str"/>
      <x:c r="D154" s="38" t="str"/>
      <x:c r="E154" s="38" t="str"/>
      <x:c r="F154" s="38" t="str"/>
      <x:c r="G154" s="38" t="str"/>
      <x:c r="H154" s="38" t="str"/>
      <x:c r="I154" s="41" t="str"/>
    </x:row>
    <x:row r="155" ht="15" hidden="0" customHeight="1">
      <x:c r="A155" s="38" t="str"/>
      <x:c r="B155" s="38" t="str"/>
      <x:c r="C155" s="38" t="str"/>
      <x:c r="D155" s="38" t="str"/>
      <x:c r="E155" s="38" t="str"/>
      <x:c r="F155" s="38" t="str"/>
      <x:c r="G155" s="38" t="str"/>
      <x:c r="H155" s="38" t="str"/>
      <x:c r="I155" s="41" t="str"/>
    </x:row>
    <x:row r="156" ht="15" hidden="0" customHeight="1">
      <x:c r="A156" s="38" t="str"/>
      <x:c r="B156" s="38" t="str"/>
      <x:c r="C156" s="38" t="str"/>
      <x:c r="D156" s="38" t="str"/>
      <x:c r="E156" s="38" t="str"/>
      <x:c r="F156" s="38" t="str"/>
      <x:c r="G156" s="38" t="str"/>
      <x:c r="H156" s="38" t="str"/>
      <x:c r="I156" s="41" t="str"/>
    </x:row>
    <x:row r="157" ht="15" hidden="0" customHeight="1">
      <x:c r="A157" s="38" t="str"/>
      <x:c r="B157" s="38" t="str"/>
      <x:c r="C157" s="38" t="str"/>
      <x:c r="D157" s="38" t="str"/>
      <x:c r="E157" s="38" t="str"/>
      <x:c r="F157" s="38" t="str"/>
      <x:c r="G157" s="38" t="str"/>
      <x:c r="H157" s="38" t="str"/>
      <x:c r="I157" s="41" t="str"/>
    </x:row>
    <x:row r="158" ht="15" hidden="0" customHeight="1">
      <x:c r="A158" s="38" t="str"/>
      <x:c r="B158" s="38" t="str"/>
      <x:c r="C158" s="38" t="str"/>
      <x:c r="D158" s="38" t="str"/>
      <x:c r="E158" s="38" t="str"/>
      <x:c r="F158" s="38" t="str"/>
      <x:c r="G158" s="38" t="str"/>
      <x:c r="H158" s="38" t="str"/>
      <x:c r="I158" s="41" t="str"/>
    </x:row>
    <x:row r="159" ht="15" hidden="0" customHeight="1">
      <x:c r="A159" s="38" t="str"/>
      <x:c r="B159" s="38" t="str"/>
      <x:c r="C159" s="38" t="str"/>
      <x:c r="D159" s="38" t="str"/>
      <x:c r="E159" s="38" t="str"/>
      <x:c r="F159" s="38" t="str"/>
      <x:c r="G159" s="38" t="str"/>
      <x:c r="H159" s="38" t="str"/>
      <x:c r="I159" s="41" t="str"/>
    </x:row>
    <x:row r="160" ht="15" hidden="0" customHeight="1">
      <x:c r="A160" s="38" t="str"/>
      <x:c r="B160" s="38" t="str"/>
      <x:c r="C160" s="38" t="str"/>
      <x:c r="D160" s="38" t="str"/>
      <x:c r="E160" s="38" t="str"/>
      <x:c r="F160" s="38" t="str"/>
      <x:c r="G160" s="38" t="str"/>
      <x:c r="H160" s="38" t="str"/>
      <x:c r="I160" s="41" t="str"/>
    </x:row>
    <x:row r="161" ht="15" hidden="0" customHeight="1">
      <x:c r="A161" s="38" t="str"/>
      <x:c r="B161" s="38" t="str"/>
      <x:c r="C161" s="38" t="str"/>
      <x:c r="D161" s="38" t="str"/>
      <x:c r="E161" s="38" t="str"/>
      <x:c r="F161" s="38" t="str"/>
      <x:c r="G161" s="38" t="str"/>
      <x:c r="H161" s="38" t="str"/>
      <x:c r="I161" s="41" t="str"/>
    </x:row>
    <x:row r="162" ht="15" hidden="0" customHeight="1">
      <x:c r="A162" s="38" t="str"/>
      <x:c r="B162" s="38" t="str"/>
      <x:c r="C162" s="38" t="str"/>
      <x:c r="D162" s="38" t="str"/>
      <x:c r="E162" s="38" t="str"/>
      <x:c r="F162" s="38" t="str"/>
      <x:c r="G162" s="38" t="str"/>
      <x:c r="H162" s="38" t="str"/>
      <x:c r="I162" s="41" t="str"/>
    </x:row>
    <x:row r="163" ht="15" hidden="0" customHeight="1">
      <x:c r="A163" s="38" t="str"/>
      <x:c r="B163" s="38" t="str"/>
      <x:c r="C163" s="38" t="str"/>
      <x:c r="D163" s="38" t="str"/>
      <x:c r="E163" s="38" t="str"/>
      <x:c r="F163" s="38" t="str"/>
      <x:c r="G163" s="38" t="str"/>
      <x:c r="H163" s="38" t="str"/>
      <x:c r="I163" s="41" t="str"/>
    </x:row>
    <x:row r="164" ht="15" hidden="0" customHeight="1">
      <x:c r="A164" s="38" t="str"/>
      <x:c r="B164" s="38" t="str"/>
      <x:c r="C164" s="38" t="str"/>
      <x:c r="D164" s="38" t="str"/>
      <x:c r="E164" s="38" t="str"/>
      <x:c r="F164" s="38" t="str"/>
      <x:c r="G164" s="38" t="str"/>
      <x:c r="H164" s="38" t="str"/>
      <x:c r="I164" s="41" t="str"/>
    </x:row>
    <x:row r="165" ht="15" hidden="0" customHeight="1">
      <x:c r="A165" s="38" t="str"/>
      <x:c r="B165" s="38" t="str"/>
      <x:c r="C165" s="38" t="str"/>
      <x:c r="D165" s="38" t="str"/>
      <x:c r="E165" s="38" t="str"/>
      <x:c r="F165" s="38" t="str"/>
      <x:c r="G165" s="38" t="str"/>
      <x:c r="H165" s="38" t="str"/>
      <x:c r="I165" s="41" t="str"/>
    </x:row>
    <x:row r="166" ht="15" hidden="0" customHeight="1">
      <x:c r="A166" s="38" t="str"/>
      <x:c r="B166" s="38" t="str"/>
      <x:c r="C166" s="38" t="str"/>
      <x:c r="D166" s="38" t="str"/>
      <x:c r="E166" s="38" t="str"/>
      <x:c r="F166" s="38" t="str"/>
      <x:c r="G166" s="38" t="str"/>
      <x:c r="H166" s="38" t="str"/>
      <x:c r="I166" s="41" t="str"/>
    </x:row>
    <x:row r="167" ht="15" hidden="0" customHeight="1">
      <x:c r="A167" s="38" t="str"/>
      <x:c r="B167" s="38" t="str"/>
      <x:c r="C167" s="38" t="str"/>
      <x:c r="D167" s="38" t="str"/>
      <x:c r="E167" s="38" t="str"/>
      <x:c r="F167" s="38" t="str"/>
      <x:c r="G167" s="38" t="str"/>
      <x:c r="H167" s="38" t="str"/>
      <x:c r="I167" s="41" t="str"/>
    </x:row>
    <x:row r="168" ht="15" hidden="0" customHeight="1">
      <x:c r="A168" s="38" t="str"/>
      <x:c r="B168" s="38" t="str"/>
      <x:c r="C168" s="38" t="str"/>
      <x:c r="D168" s="38" t="str"/>
      <x:c r="E168" s="38" t="str"/>
      <x:c r="F168" s="38" t="str"/>
      <x:c r="G168" s="38" t="str"/>
      <x:c r="H168" s="38" t="str"/>
      <x:c r="I168" s="41" t="str"/>
    </x:row>
    <x:row r="169" ht="15" hidden="0" customHeight="1">
      <x:c r="A169" s="38" t="str"/>
      <x:c r="B169" s="38" t="str"/>
      <x:c r="C169" s="38" t="str"/>
      <x:c r="D169" s="38" t="str"/>
      <x:c r="E169" s="38" t="str"/>
      <x:c r="F169" s="38" t="str"/>
      <x:c r="G169" s="38" t="str"/>
      <x:c r="H169" s="38" t="str"/>
      <x:c r="I169" s="41" t="str"/>
    </x:row>
    <x:row r="170" ht="15" hidden="0" customHeight="1">
      <x:c r="A170" s="38" t="str"/>
      <x:c r="B170" s="38" t="str"/>
      <x:c r="C170" s="38" t="str"/>
      <x:c r="D170" s="38" t="str"/>
      <x:c r="E170" s="38" t="str"/>
      <x:c r="F170" s="38" t="str"/>
      <x:c r="G170" s="38" t="str"/>
      <x:c r="H170" s="38" t="str"/>
      <x:c r="I170" s="41" t="str"/>
    </x:row>
    <x:row r="171" ht="15" hidden="0" customHeight="1">
      <x:c r="A171" s="38" t="str"/>
      <x:c r="B171" s="38" t="str"/>
      <x:c r="C171" s="38" t="str"/>
      <x:c r="D171" s="38" t="str"/>
      <x:c r="E171" s="38" t="str"/>
      <x:c r="F171" s="38" t="str"/>
      <x:c r="G171" s="38" t="str"/>
      <x:c r="H171" s="38" t="str"/>
      <x:c r="I171" s="41" t="str"/>
    </x:row>
    <x:row r="172" ht="15" hidden="0" customHeight="1">
      <x:c r="A172" s="38" t="str"/>
      <x:c r="B172" s="38" t="str"/>
      <x:c r="C172" s="38" t="str"/>
      <x:c r="D172" s="38" t="str"/>
      <x:c r="E172" s="38" t="str"/>
      <x:c r="F172" s="38" t="str"/>
      <x:c r="G172" s="38" t="str"/>
      <x:c r="H172" s="38" t="str"/>
      <x:c r="I172" s="41" t="str"/>
    </x:row>
    <x:row r="173" ht="15" hidden="0" customHeight="1">
      <x:c r="A173" s="38" t="str"/>
      <x:c r="B173" s="38" t="str"/>
      <x:c r="C173" s="38" t="str"/>
      <x:c r="D173" s="38" t="str"/>
      <x:c r="E173" s="38" t="str"/>
      <x:c r="F173" s="38" t="str"/>
      <x:c r="G173" s="38" t="str"/>
      <x:c r="H173" s="38" t="str"/>
      <x:c r="I173" s="41" t="str"/>
    </x:row>
    <x:row r="174" ht="15" hidden="0" customHeight="1">
      <x:c r="A174" s="38" t="str"/>
      <x:c r="B174" s="38" t="str"/>
      <x:c r="C174" s="38" t="str"/>
      <x:c r="D174" s="38" t="str"/>
      <x:c r="E174" s="38" t="str"/>
      <x:c r="F174" s="38" t="str"/>
      <x:c r="G174" s="38" t="str"/>
      <x:c r="H174" s="38" t="str"/>
      <x:c r="I174" s="41" t="str"/>
    </x:row>
    <x:row r="175" ht="15" hidden="0" customHeight="1">
      <x:c r="A175" s="38" t="str"/>
      <x:c r="B175" s="38" t="str"/>
      <x:c r="C175" s="38" t="str"/>
      <x:c r="D175" s="38" t="str"/>
      <x:c r="E175" s="38" t="str"/>
      <x:c r="F175" s="38" t="str"/>
      <x:c r="G175" s="38" t="str"/>
      <x:c r="H175" s="38" t="str"/>
      <x:c r="I175" s="41" t="str"/>
    </x:row>
    <x:row r="176" ht="15" hidden="0" customHeight="1">
      <x:c r="A176" s="38" t="str"/>
      <x:c r="B176" s="38" t="str"/>
      <x:c r="C176" s="38" t="str"/>
      <x:c r="D176" s="38" t="str"/>
      <x:c r="E176" s="38" t="str"/>
      <x:c r="F176" s="38" t="str"/>
      <x:c r="G176" s="38" t="str"/>
      <x:c r="H176" s="38" t="str"/>
      <x:c r="I176" s="41" t="str"/>
    </x:row>
    <x:row r="177" ht="15" hidden="0" customHeight="1">
      <x:c r="A177" s="38" t="str"/>
      <x:c r="B177" s="38" t="str"/>
      <x:c r="C177" s="38" t="str"/>
      <x:c r="D177" s="38" t="str"/>
      <x:c r="E177" s="38" t="str"/>
      <x:c r="F177" s="38" t="str"/>
      <x:c r="G177" s="38" t="str"/>
      <x:c r="H177" s="38" t="str"/>
      <x:c r="I177" s="41" t="str"/>
    </x:row>
    <x:row r="178" ht="15" hidden="0" customHeight="1">
      <x:c r="A178" s="38" t="str"/>
      <x:c r="B178" s="38" t="str"/>
      <x:c r="C178" s="38" t="str"/>
      <x:c r="D178" s="38" t="str"/>
      <x:c r="E178" s="38" t="str"/>
      <x:c r="F178" s="38" t="str"/>
      <x:c r="G178" s="38" t="str"/>
      <x:c r="H178" s="38" t="str"/>
      <x:c r="I178" s="41" t="str"/>
    </x:row>
    <x:row r="179" ht="15" hidden="0" customHeight="1">
      <x:c r="A179" s="38" t="str"/>
      <x:c r="B179" s="38" t="str"/>
      <x:c r="C179" s="38" t="str"/>
      <x:c r="D179" s="38" t="str"/>
      <x:c r="E179" s="38" t="str"/>
      <x:c r="F179" s="38" t="str"/>
      <x:c r="G179" s="38" t="str"/>
      <x:c r="H179" s="38" t="str"/>
      <x:c r="I179" s="41" t="str"/>
    </x:row>
    <x:row r="180" ht="15" hidden="0" customHeight="1">
      <x:c r="A180" s="38" t="str"/>
      <x:c r="B180" s="38" t="str"/>
      <x:c r="C180" s="38" t="str"/>
      <x:c r="D180" s="38" t="str"/>
      <x:c r="E180" s="38" t="str"/>
      <x:c r="F180" s="38" t="str"/>
      <x:c r="G180" s="38" t="str"/>
      <x:c r="H180" s="38" t="str"/>
      <x:c r="I180" s="41" t="str"/>
    </x:row>
    <x:row r="181" ht="15" hidden="0" customHeight="1">
      <x:c r="A181" s="38" t="str"/>
      <x:c r="B181" s="38" t="str"/>
      <x:c r="C181" s="38" t="str"/>
      <x:c r="D181" s="38" t="str"/>
      <x:c r="E181" s="38" t="str"/>
      <x:c r="F181" s="38" t="str"/>
      <x:c r="G181" s="38" t="str"/>
      <x:c r="H181" s="38" t="str"/>
      <x:c r="I181" s="41" t="str"/>
    </x:row>
    <x:row r="182" ht="15" hidden="0" customHeight="1">
      <x:c r="A182" s="38" t="str"/>
      <x:c r="B182" s="38" t="str"/>
      <x:c r="C182" s="38" t="str"/>
      <x:c r="D182" s="38" t="str"/>
      <x:c r="E182" s="38" t="str"/>
      <x:c r="F182" s="38" t="str"/>
      <x:c r="G182" s="38" t="str"/>
      <x:c r="H182" s="38" t="str"/>
      <x:c r="I182" s="41" t="str"/>
    </x:row>
    <x:row r="183" ht="15" hidden="0" customHeight="1">
      <x:c r="A183" s="38" t="str"/>
      <x:c r="B183" s="38" t="str"/>
      <x:c r="C183" s="38" t="str"/>
      <x:c r="D183" s="38" t="str"/>
      <x:c r="E183" s="38" t="str"/>
      <x:c r="F183" s="38" t="str"/>
      <x:c r="G183" s="38" t="str"/>
      <x:c r="H183" s="38" t="str"/>
      <x:c r="I183" s="41" t="str"/>
    </x:row>
    <x:row r="184" ht="15" hidden="0" customHeight="1">
      <x:c r="A184" s="38" t="str"/>
      <x:c r="B184" s="38" t="str"/>
      <x:c r="C184" s="38" t="str"/>
      <x:c r="D184" s="38" t="str"/>
      <x:c r="E184" s="38" t="str"/>
      <x:c r="F184" s="38" t="str"/>
      <x:c r="G184" s="38" t="str"/>
      <x:c r="H184" s="38" t="str"/>
      <x:c r="I184" s="41" t="str"/>
    </x:row>
    <x:row r="185" ht="15" hidden="0" customHeight="1">
      <x:c r="A185" s="38" t="str"/>
      <x:c r="B185" s="38" t="str"/>
      <x:c r="C185" s="38" t="str"/>
      <x:c r="D185" s="38" t="str"/>
      <x:c r="E185" s="38" t="str"/>
      <x:c r="F185" s="38" t="str"/>
      <x:c r="G185" s="38" t="str"/>
      <x:c r="H185" s="38" t="str"/>
      <x:c r="I185" s="41" t="str"/>
    </x:row>
    <x:row r="186" ht="15" hidden="0" customHeight="1">
      <x:c r="A186" s="38" t="str"/>
      <x:c r="B186" s="38" t="str"/>
      <x:c r="C186" s="38" t="str"/>
      <x:c r="D186" s="38" t="str"/>
      <x:c r="E186" s="38" t="str"/>
      <x:c r="F186" s="38" t="str"/>
      <x:c r="G186" s="38" t="str"/>
      <x:c r="H186" s="38" t="str"/>
      <x:c r="I186" s="41" t="str"/>
    </x:row>
    <x:row r="187" ht="15" hidden="0" customHeight="1">
      <x:c r="A187" s="38" t="str"/>
      <x:c r="B187" s="38" t="str"/>
      <x:c r="C187" s="38" t="str"/>
      <x:c r="D187" s="38" t="str"/>
      <x:c r="E187" s="38" t="str"/>
      <x:c r="F187" s="38" t="str"/>
      <x:c r="G187" s="38" t="str"/>
      <x:c r="H187" s="38" t="str"/>
      <x:c r="I187" s="41" t="str"/>
    </x:row>
    <x:row r="188" ht="15" hidden="0" customHeight="1">
      <x:c r="A188" s="38" t="str"/>
      <x:c r="B188" s="38" t="str"/>
      <x:c r="C188" s="38" t="str"/>
      <x:c r="D188" s="38" t="str"/>
      <x:c r="E188" s="38" t="str"/>
      <x:c r="F188" s="38" t="str"/>
      <x:c r="G188" s="38" t="str"/>
      <x:c r="H188" s="38" t="str"/>
      <x:c r="I188" s="41" t="str"/>
    </x:row>
    <x:row r="189" ht="15" hidden="0" customHeight="1">
      <x:c r="A189" s="38" t="str"/>
      <x:c r="B189" s="38" t="str"/>
      <x:c r="C189" s="38" t="str"/>
      <x:c r="D189" s="38" t="str"/>
      <x:c r="E189" s="38" t="str"/>
      <x:c r="F189" s="38" t="str"/>
      <x:c r="G189" s="38" t="str"/>
      <x:c r="H189" s="38" t="str"/>
      <x:c r="I189" s="41" t="str"/>
    </x:row>
    <x:row r="190" ht="15" hidden="0" customHeight="1">
      <x:c r="A190" s="38" t="str"/>
      <x:c r="B190" s="38" t="str"/>
      <x:c r="C190" s="38" t="str"/>
      <x:c r="D190" s="38" t="str"/>
      <x:c r="E190" s="38" t="str"/>
      <x:c r="F190" s="38" t="str"/>
      <x:c r="G190" s="38" t="str"/>
      <x:c r="H190" s="38" t="str"/>
      <x:c r="I190" s="41" t="str"/>
    </x:row>
    <x:row r="191" ht="15" hidden="0" customHeight="1">
      <x:c r="A191" s="38" t="str"/>
      <x:c r="B191" s="38" t="str"/>
      <x:c r="C191" s="38" t="str"/>
      <x:c r="D191" s="38" t="str"/>
      <x:c r="E191" s="38" t="str"/>
      <x:c r="F191" s="38" t="str"/>
      <x:c r="G191" s="38" t="str"/>
      <x:c r="H191" s="38" t="str"/>
      <x:c r="I191" s="41" t="str"/>
    </x:row>
    <x:row r="192" ht="15" hidden="0" customHeight="1">
      <x:c r="A192" s="38" t="str"/>
      <x:c r="B192" s="38" t="str"/>
      <x:c r="C192" s="38" t="str"/>
      <x:c r="D192" s="38" t="str"/>
      <x:c r="E192" s="38" t="str"/>
      <x:c r="F192" s="38" t="str"/>
      <x:c r="G192" s="38" t="str"/>
      <x:c r="H192" s="38" t="str"/>
      <x:c r="I192" s="41" t="str"/>
    </x:row>
    <x:row r="193" ht="15" hidden="0" customHeight="1">
      <x:c r="A193" s="38" t="str"/>
      <x:c r="B193" s="38" t="str"/>
      <x:c r="C193" s="38" t="str"/>
      <x:c r="D193" s="38" t="str"/>
      <x:c r="E193" s="38" t="str"/>
      <x:c r="F193" s="38" t="str"/>
      <x:c r="G193" s="38" t="str"/>
      <x:c r="H193" s="38" t="str"/>
      <x:c r="I193" s="41" t="str"/>
    </x:row>
    <x:row r="194" ht="15" hidden="0" customHeight="1">
      <x:c r="A194" s="38" t="str"/>
      <x:c r="B194" s="38" t="str"/>
      <x:c r="C194" s="38" t="str"/>
      <x:c r="D194" s="38" t="str"/>
      <x:c r="E194" s="38" t="str"/>
      <x:c r="F194" s="38" t="str"/>
      <x:c r="G194" s="38" t="str"/>
      <x:c r="H194" s="38" t="str"/>
      <x:c r="I194" s="41" t="str"/>
    </x:row>
    <x:row r="195" ht="15" hidden="0" customHeight="1">
      <x:c r="A195" s="38" t="str"/>
      <x:c r="B195" s="38" t="str"/>
      <x:c r="C195" s="38" t="str"/>
      <x:c r="D195" s="38" t="str"/>
      <x:c r="E195" s="38" t="str"/>
      <x:c r="F195" s="38" t="str"/>
      <x:c r="G195" s="38" t="str"/>
      <x:c r="H195" s="38" t="str"/>
      <x:c r="I195" s="41" t="str"/>
    </x:row>
    <x:row r="196" ht="15" hidden="0" customHeight="1">
      <x:c r="A196" s="38" t="str"/>
      <x:c r="B196" s="38" t="str"/>
      <x:c r="C196" s="38" t="str"/>
      <x:c r="D196" s="38" t="str"/>
      <x:c r="E196" s="38" t="str"/>
      <x:c r="F196" s="38" t="str"/>
      <x:c r="G196" s="38" t="str"/>
      <x:c r="H196" s="38" t="str"/>
      <x:c r="I196" s="41" t="str"/>
    </x:row>
    <x:row r="197" ht="15" hidden="0" customHeight="1">
      <x:c r="A197" s="38" t="str"/>
      <x:c r="B197" s="38" t="str"/>
      <x:c r="C197" s="38" t="str"/>
      <x:c r="D197" s="38" t="str"/>
      <x:c r="E197" s="38" t="str"/>
      <x:c r="F197" s="38" t="str"/>
      <x:c r="G197" s="38" t="str"/>
      <x:c r="H197" s="38" t="str"/>
      <x:c r="I197" s="41" t="str"/>
    </x:row>
    <x:row r="198" ht="15" hidden="0" customHeight="1">
      <x:c r="A198" s="38" t="str"/>
      <x:c r="B198" s="38" t="str"/>
      <x:c r="C198" s="38" t="str"/>
      <x:c r="D198" s="38" t="str"/>
      <x:c r="E198" s="38" t="str"/>
      <x:c r="F198" s="38" t="str"/>
      <x:c r="G198" s="38" t="str"/>
      <x:c r="H198" s="38" t="str"/>
      <x:c r="I198" s="41" t="str"/>
    </x:row>
    <x:row r="199" ht="15" hidden="0" customHeight="1">
      <x:c r="A199" s="38" t="str"/>
      <x:c r="B199" s="38" t="str"/>
      <x:c r="C199" s="38" t="str"/>
      <x:c r="D199" s="38" t="str"/>
      <x:c r="E199" s="38" t="str"/>
      <x:c r="F199" s="38" t="str"/>
      <x:c r="G199" s="38" t="str"/>
      <x:c r="H199" s="38" t="str"/>
      <x:c r="I199" s="41" t="str"/>
    </x:row>
    <x:row r="200" ht="15" hidden="0" customHeight="1">
      <x:c r="A200" s="38" t="str"/>
      <x:c r="B200" s="38" t="str"/>
      <x:c r="C200" s="38" t="str"/>
      <x:c r="D200" s="38" t="str"/>
      <x:c r="E200" s="38" t="str"/>
      <x:c r="F200" s="38" t="str"/>
      <x:c r="G200" s="38" t="str"/>
      <x:c r="H200" s="38" t="str"/>
      <x:c r="I200" s="41" t="str"/>
    </x:row>
    <x:row r="201" ht="15" hidden="0" customHeight="1">
      <x:c r="A201" s="38" t="str"/>
      <x:c r="B201" s="38" t="str"/>
      <x:c r="C201" s="38" t="str"/>
      <x:c r="D201" s="38" t="str"/>
      <x:c r="E201" s="38" t="str"/>
      <x:c r="F201" s="38" t="str"/>
      <x:c r="G201" s="38" t="str"/>
      <x:c r="H201" s="38" t="str"/>
      <x:c r="I201" s="41" t="str"/>
    </x:row>
  </x:sheetData>
  <x:dataValidations count="1">
    <x:dataValidation type="list" sqref="F2:G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666673733742ea"/>
  </x:tableParts>
</x:worksheet>
</file>